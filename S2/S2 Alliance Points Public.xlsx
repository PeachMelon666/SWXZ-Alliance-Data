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ast War\"/>
    </mc:Choice>
  </mc:AlternateContent>
  <xr:revisionPtr revIDLastSave="0" documentId="13_ncr:1_{7E17EF85-174F-4008-9F33-0D9F22C78A2F}" xr6:coauthVersionLast="47" xr6:coauthVersionMax="47" xr10:uidLastSave="{00000000-0000-0000-0000-000000000000}"/>
  <bookViews>
    <workbookView xWindow="-108" yWindow="-108" windowWidth="23256" windowHeight="12456" xr2:uid="{55963CE4-070A-4457-9011-CD92A571433A}"/>
  </bookViews>
  <sheets>
    <sheet name="0118" sheetId="1" r:id="rId1"/>
  </sheets>
  <definedNames>
    <definedName name="_xlnm._FilterDatabase" localSheetId="0" hidden="1">'0118'!$E$3:$T$111</definedName>
    <definedName name="_xlnm.Print_Area" localSheetId="0">'0118'!$E$1:$T$111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103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7" i="1"/>
  <c r="D108" i="1"/>
  <c r="D109" i="1"/>
  <c r="D110" i="1"/>
  <c r="D111" i="1"/>
  <c r="AX5" i="1"/>
  <c r="AX6" i="1"/>
  <c r="AX4" i="1" s="1"/>
  <c r="AY7" i="1"/>
  <c r="AY8" i="1"/>
  <c r="AY9" i="1"/>
  <c r="AY10" i="1"/>
  <c r="AY11" i="1"/>
  <c r="AY12" i="1"/>
  <c r="AY15" i="1"/>
  <c r="AY13" i="1"/>
  <c r="AY14" i="1"/>
  <c r="AY18" i="1"/>
  <c r="AY16" i="1"/>
  <c r="AY17" i="1"/>
  <c r="AY20" i="1"/>
  <c r="AY19" i="1"/>
  <c r="AY21" i="1"/>
  <c r="AY22" i="1"/>
  <c r="AZ22" i="1" s="1"/>
  <c r="AY23" i="1"/>
  <c r="AY24" i="1"/>
  <c r="AY27" i="1"/>
  <c r="AZ27" i="1" s="1"/>
  <c r="AY25" i="1"/>
  <c r="AY26" i="1"/>
  <c r="AY28" i="1"/>
  <c r="AY31" i="1"/>
  <c r="AZ31" i="1" s="1"/>
  <c r="AY29" i="1"/>
  <c r="AY30" i="1"/>
  <c r="AY32" i="1"/>
  <c r="AZ32" i="1" s="1"/>
  <c r="AY33" i="1"/>
  <c r="AY35" i="1"/>
  <c r="AZ35" i="1" s="1"/>
  <c r="AY36" i="1"/>
  <c r="AZ36" i="1" s="1"/>
  <c r="AY38" i="1"/>
  <c r="AZ38" i="1" s="1"/>
  <c r="AY37" i="1"/>
  <c r="AY34" i="1"/>
  <c r="AY39" i="1"/>
  <c r="AZ39" i="1" s="1"/>
  <c r="AY40" i="1"/>
  <c r="AY103" i="1"/>
  <c r="AZ103" i="1" s="1"/>
  <c r="AY41" i="1"/>
  <c r="AY43" i="1"/>
  <c r="AZ43" i="1" s="1"/>
  <c r="AY42" i="1"/>
  <c r="AY45" i="1"/>
  <c r="AZ45" i="1" s="1"/>
  <c r="AY44" i="1"/>
  <c r="AY46" i="1"/>
  <c r="AZ46" i="1" s="1"/>
  <c r="AY47" i="1"/>
  <c r="AY48" i="1"/>
  <c r="AZ48" i="1" s="1"/>
  <c r="AY49" i="1"/>
  <c r="AZ49" i="1" s="1"/>
  <c r="AY51" i="1"/>
  <c r="AZ51" i="1" s="1"/>
  <c r="AY52" i="1"/>
  <c r="AZ52" i="1" s="1"/>
  <c r="AY53" i="1"/>
  <c r="AZ53" i="1" s="1"/>
  <c r="AY54" i="1"/>
  <c r="AZ54" i="1" s="1"/>
  <c r="AY50" i="1"/>
  <c r="AY55" i="1"/>
  <c r="AZ55" i="1" s="1"/>
  <c r="AY56" i="1"/>
  <c r="AZ56" i="1" s="1"/>
  <c r="AY57" i="1"/>
  <c r="AZ57" i="1" s="1"/>
  <c r="AY58" i="1"/>
  <c r="AZ58" i="1" s="1"/>
  <c r="AY59" i="1"/>
  <c r="AZ59" i="1" s="1"/>
  <c r="AY60" i="1"/>
  <c r="AZ60" i="1" s="1"/>
  <c r="AY61" i="1"/>
  <c r="AZ61" i="1" s="1"/>
  <c r="AY62" i="1"/>
  <c r="AZ62" i="1" s="1"/>
  <c r="AY63" i="1"/>
  <c r="AZ63" i="1" s="1"/>
  <c r="AY64" i="1"/>
  <c r="AZ64" i="1" s="1"/>
  <c r="AY66" i="1"/>
  <c r="AZ66" i="1" s="1"/>
  <c r="AY65" i="1"/>
  <c r="AY67" i="1"/>
  <c r="AY68" i="1"/>
  <c r="AZ68" i="1" s="1"/>
  <c r="AY70" i="1"/>
  <c r="AZ70" i="1" s="1"/>
  <c r="AY71" i="1"/>
  <c r="AZ71" i="1" s="1"/>
  <c r="AY72" i="1"/>
  <c r="AZ72" i="1" s="1"/>
  <c r="AY69" i="1"/>
  <c r="AY73" i="1"/>
  <c r="AZ73" i="1" s="1"/>
  <c r="AY75" i="1"/>
  <c r="AZ75" i="1" s="1"/>
  <c r="AY76" i="1"/>
  <c r="AZ76" i="1" s="1"/>
  <c r="AY74" i="1"/>
  <c r="AY77" i="1"/>
  <c r="AZ77" i="1" s="1"/>
  <c r="AY78" i="1"/>
  <c r="AZ78" i="1" s="1"/>
  <c r="AY79" i="1"/>
  <c r="AZ79" i="1" s="1"/>
  <c r="AY80" i="1"/>
  <c r="AZ80" i="1" s="1"/>
  <c r="AY81" i="1"/>
  <c r="AZ81" i="1" s="1"/>
  <c r="AY82" i="1"/>
  <c r="AZ82" i="1" s="1"/>
  <c r="AY83" i="1"/>
  <c r="AZ83" i="1" s="1"/>
  <c r="AY84" i="1"/>
  <c r="AZ84" i="1" s="1"/>
  <c r="AY85" i="1"/>
  <c r="AZ85" i="1" s="1"/>
  <c r="AY86" i="1"/>
  <c r="AZ86" i="1" s="1"/>
  <c r="AY87" i="1"/>
  <c r="AZ87" i="1" s="1"/>
  <c r="AY88" i="1"/>
  <c r="AZ88" i="1" s="1"/>
  <c r="AY89" i="1"/>
  <c r="AZ89" i="1" s="1"/>
  <c r="AY90" i="1"/>
  <c r="AZ90" i="1" s="1"/>
  <c r="AY91" i="1"/>
  <c r="AZ91" i="1" s="1"/>
  <c r="AY92" i="1"/>
  <c r="AZ92" i="1" s="1"/>
  <c r="AY93" i="1"/>
  <c r="AZ93" i="1" s="1"/>
  <c r="AY94" i="1"/>
  <c r="AZ94" i="1" s="1"/>
  <c r="AY95" i="1"/>
  <c r="AZ95" i="1" s="1"/>
  <c r="AY96" i="1"/>
  <c r="AZ96" i="1" s="1"/>
  <c r="AY97" i="1"/>
  <c r="AZ97" i="1" s="1"/>
  <c r="AY98" i="1"/>
  <c r="AZ98" i="1" s="1"/>
  <c r="AY99" i="1"/>
  <c r="AZ99" i="1" s="1"/>
  <c r="AY100" i="1"/>
  <c r="AZ100" i="1" s="1"/>
  <c r="AY101" i="1"/>
  <c r="AZ101" i="1" s="1"/>
  <c r="AY102" i="1"/>
  <c r="AZ102" i="1" s="1"/>
  <c r="AY104" i="1"/>
  <c r="AY105" i="1"/>
  <c r="AZ105" i="1" s="1"/>
  <c r="AY106" i="1"/>
  <c r="AZ106" i="1" s="1"/>
  <c r="AY107" i="1"/>
  <c r="AY108" i="1"/>
  <c r="AZ108" i="1" s="1"/>
  <c r="AY109" i="1"/>
  <c r="AZ109" i="1" s="1"/>
  <c r="AY110" i="1"/>
  <c r="AZ110" i="1" s="1"/>
  <c r="AY111" i="1"/>
  <c r="AZ111" i="1" s="1"/>
  <c r="AG12" i="1"/>
  <c r="AG9" i="1"/>
  <c r="AG7" i="1"/>
  <c r="AG8" i="1"/>
  <c r="AG17" i="1"/>
  <c r="AG20" i="1"/>
  <c r="AG10" i="1"/>
  <c r="AG18" i="1"/>
  <c r="AG19" i="1"/>
  <c r="AG15" i="1"/>
  <c r="AG21" i="1"/>
  <c r="AG11" i="1"/>
  <c r="AG22" i="1"/>
  <c r="AH22" i="1" s="1"/>
  <c r="AG16" i="1"/>
  <c r="AG23" i="1"/>
  <c r="AH23" i="1" s="1"/>
  <c r="AG14" i="1"/>
  <c r="AH14" i="1" s="1"/>
  <c r="AG13" i="1"/>
  <c r="AG24" i="1"/>
  <c r="AG31" i="1"/>
  <c r="AH31" i="1" s="1"/>
  <c r="AG26" i="1"/>
  <c r="AH26" i="1" s="1"/>
  <c r="AG27" i="1"/>
  <c r="AG28" i="1"/>
  <c r="AG34" i="1"/>
  <c r="AH34" i="1" s="1"/>
  <c r="AG30" i="1"/>
  <c r="AH30" i="1" s="1"/>
  <c r="AG32" i="1"/>
  <c r="AH32" i="1" s="1"/>
  <c r="AG25" i="1"/>
  <c r="AH25" i="1" s="1"/>
  <c r="AG40" i="1"/>
  <c r="AH40" i="1" s="1"/>
  <c r="AG29" i="1"/>
  <c r="AG33" i="1"/>
  <c r="AG36" i="1"/>
  <c r="AH36" i="1" s="1"/>
  <c r="AG35" i="1"/>
  <c r="AH35" i="1" s="1"/>
  <c r="AG42" i="1"/>
  <c r="AH42" i="1" s="1"/>
  <c r="AG103" i="1"/>
  <c r="AH103" i="1" s="1"/>
  <c r="AG38" i="1"/>
  <c r="AH38" i="1" s="1"/>
  <c r="AG46" i="1"/>
  <c r="AH46" i="1" s="1"/>
  <c r="AG37" i="1"/>
  <c r="AG39" i="1"/>
  <c r="AH39" i="1" s="1"/>
  <c r="AG52" i="1"/>
  <c r="AH52" i="1" s="1"/>
  <c r="AG49" i="1"/>
  <c r="AH49" i="1" s="1"/>
  <c r="AG59" i="1"/>
  <c r="AH59" i="1" s="1"/>
  <c r="AG44" i="1"/>
  <c r="AH44" i="1" s="1"/>
  <c r="AG41" i="1"/>
  <c r="AG43" i="1"/>
  <c r="AH43" i="1" s="1"/>
  <c r="AG45" i="1"/>
  <c r="AH45" i="1" s="1"/>
  <c r="AG51" i="1"/>
  <c r="AH51" i="1" s="1"/>
  <c r="AG54" i="1"/>
  <c r="AH54" i="1" s="1"/>
  <c r="AG47" i="1"/>
  <c r="AH47" i="1" s="1"/>
  <c r="AG48" i="1"/>
  <c r="AH48" i="1" s="1"/>
  <c r="AG60" i="1"/>
  <c r="AH60" i="1" s="1"/>
  <c r="AG65" i="1"/>
  <c r="AH65" i="1" s="1"/>
  <c r="AG57" i="1"/>
  <c r="AH57" i="1" s="1"/>
  <c r="AG55" i="1"/>
  <c r="AH55" i="1" s="1"/>
  <c r="AG56" i="1"/>
  <c r="AH56" i="1" s="1"/>
  <c r="AG63" i="1"/>
  <c r="AH63" i="1" s="1"/>
  <c r="AG72" i="1"/>
  <c r="AH72" i="1" s="1"/>
  <c r="AG61" i="1"/>
  <c r="AH61" i="1" s="1"/>
  <c r="AG58" i="1"/>
  <c r="AH58" i="1" s="1"/>
  <c r="AG53" i="1"/>
  <c r="AG71" i="1"/>
  <c r="AH71" i="1" s="1"/>
  <c r="AG69" i="1"/>
  <c r="AH69" i="1" s="1"/>
  <c r="AG64" i="1"/>
  <c r="AH64" i="1" s="1"/>
  <c r="AG70" i="1"/>
  <c r="AH70" i="1" s="1"/>
  <c r="AG67" i="1"/>
  <c r="AH67" i="1" s="1"/>
  <c r="AG76" i="1"/>
  <c r="AH76" i="1" s="1"/>
  <c r="AG74" i="1"/>
  <c r="AH74" i="1" s="1"/>
  <c r="AG75" i="1"/>
  <c r="AH75" i="1" s="1"/>
  <c r="AG50" i="1"/>
  <c r="AH50" i="1" s="1"/>
  <c r="AG68" i="1"/>
  <c r="AH68" i="1" s="1"/>
  <c r="AG78" i="1"/>
  <c r="AH78" i="1" s="1"/>
  <c r="AG80" i="1"/>
  <c r="AH80" i="1" s="1"/>
  <c r="AG81" i="1"/>
  <c r="AH81" i="1" s="1"/>
  <c r="AG73" i="1"/>
  <c r="AH73" i="1" s="1"/>
  <c r="AG77" i="1"/>
  <c r="AH77" i="1" s="1"/>
  <c r="AG62" i="1"/>
  <c r="AH62" i="1" s="1"/>
  <c r="AG82" i="1"/>
  <c r="AH82" i="1" s="1"/>
  <c r="AG79" i="1"/>
  <c r="AH79" i="1" s="1"/>
  <c r="AG86" i="1"/>
  <c r="AH86" i="1" s="1"/>
  <c r="AG91" i="1"/>
  <c r="AH91" i="1" s="1"/>
  <c r="AG83" i="1"/>
  <c r="AH83" i="1" s="1"/>
  <c r="AG87" i="1"/>
  <c r="AH87" i="1" s="1"/>
  <c r="AG88" i="1"/>
  <c r="AH88" i="1" s="1"/>
  <c r="AG84" i="1"/>
  <c r="AH84" i="1" s="1"/>
  <c r="AG66" i="1"/>
  <c r="AH66" i="1" s="1"/>
  <c r="AG93" i="1"/>
  <c r="AH93" i="1" s="1"/>
  <c r="AG90" i="1"/>
  <c r="AH90" i="1" s="1"/>
  <c r="AG92" i="1"/>
  <c r="AH92" i="1" s="1"/>
  <c r="AG85" i="1"/>
  <c r="AH85" i="1" s="1"/>
  <c r="AG89" i="1"/>
  <c r="AH89" i="1" s="1"/>
  <c r="AG95" i="1"/>
  <c r="AH95" i="1" s="1"/>
  <c r="AG94" i="1"/>
  <c r="AH94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4" i="1"/>
  <c r="AG105" i="1"/>
  <c r="AH105" i="1" s="1"/>
  <c r="AG106" i="1"/>
  <c r="AH106" i="1" s="1"/>
  <c r="AG107" i="1"/>
  <c r="AG108" i="1"/>
  <c r="AH108" i="1" s="1"/>
  <c r="AG109" i="1"/>
  <c r="AH109" i="1" s="1"/>
  <c r="AG110" i="1"/>
  <c r="AH110" i="1" s="1"/>
  <c r="AG111" i="1"/>
  <c r="AH111" i="1" s="1"/>
  <c r="AJ12" i="1"/>
  <c r="AJ9" i="1"/>
  <c r="AJ7" i="1"/>
  <c r="AJ8" i="1"/>
  <c r="AJ17" i="1"/>
  <c r="AJ20" i="1"/>
  <c r="AJ10" i="1"/>
  <c r="AJ18" i="1"/>
  <c r="AJ19" i="1"/>
  <c r="AJ15" i="1"/>
  <c r="AJ21" i="1"/>
  <c r="AK21" i="1" s="1"/>
  <c r="AJ11" i="1"/>
  <c r="AJ22" i="1"/>
  <c r="AJ16" i="1"/>
  <c r="AK16" i="1" s="1"/>
  <c r="AJ23" i="1"/>
  <c r="AK23" i="1" s="1"/>
  <c r="AJ14" i="1"/>
  <c r="AK14" i="1" s="1"/>
  <c r="AJ13" i="1"/>
  <c r="AJ24" i="1"/>
  <c r="AJ31" i="1"/>
  <c r="AK31" i="1" s="1"/>
  <c r="AJ26" i="1"/>
  <c r="AJ27" i="1"/>
  <c r="AK27" i="1" s="1"/>
  <c r="AJ28" i="1"/>
  <c r="AJ34" i="1"/>
  <c r="AJ30" i="1"/>
  <c r="AJ32" i="1"/>
  <c r="AK32" i="1" s="1"/>
  <c r="AJ25" i="1"/>
  <c r="AJ40" i="1"/>
  <c r="AK40" i="1" s="1"/>
  <c r="AJ29" i="1"/>
  <c r="AK29" i="1" s="1"/>
  <c r="AJ33" i="1"/>
  <c r="AK33" i="1" s="1"/>
  <c r="AJ36" i="1"/>
  <c r="AJ35" i="1"/>
  <c r="AK35" i="1" s="1"/>
  <c r="AJ42" i="1"/>
  <c r="AK42" i="1" s="1"/>
  <c r="AJ103" i="1"/>
  <c r="AK103" i="1" s="1"/>
  <c r="AJ38" i="1"/>
  <c r="AK38" i="1" s="1"/>
  <c r="AJ46" i="1"/>
  <c r="AK46" i="1" s="1"/>
  <c r="AJ37" i="1"/>
  <c r="AK37" i="1" s="1"/>
  <c r="AJ39" i="1"/>
  <c r="AK39" i="1" s="1"/>
  <c r="AJ52" i="1"/>
  <c r="AK52" i="1" s="1"/>
  <c r="AJ49" i="1"/>
  <c r="AK49" i="1" s="1"/>
  <c r="AJ59" i="1"/>
  <c r="AK59" i="1" s="1"/>
  <c r="AJ44" i="1"/>
  <c r="AJ41" i="1"/>
  <c r="AK41" i="1" s="1"/>
  <c r="AJ43" i="1"/>
  <c r="AK43" i="1" s="1"/>
  <c r="AJ45" i="1"/>
  <c r="AJ51" i="1"/>
  <c r="AJ54" i="1"/>
  <c r="AK54" i="1" s="1"/>
  <c r="AJ47" i="1"/>
  <c r="AJ48" i="1"/>
  <c r="AK48" i="1" s="1"/>
  <c r="AJ60" i="1"/>
  <c r="AJ65" i="1"/>
  <c r="AJ57" i="1"/>
  <c r="AK57" i="1" s="1"/>
  <c r="AJ55" i="1"/>
  <c r="AJ56" i="1"/>
  <c r="AJ63" i="1"/>
  <c r="AK63" i="1" s="1"/>
  <c r="AJ72" i="1"/>
  <c r="AK72" i="1" s="1"/>
  <c r="AJ61" i="1"/>
  <c r="AJ58" i="1"/>
  <c r="AK58" i="1" s="1"/>
  <c r="AJ53" i="1"/>
  <c r="AK53" i="1" s="1"/>
  <c r="AJ71" i="1"/>
  <c r="AK71" i="1" s="1"/>
  <c r="AJ69" i="1"/>
  <c r="AJ64" i="1"/>
  <c r="AK64" i="1" s="1"/>
  <c r="AJ70" i="1"/>
  <c r="AJ67" i="1"/>
  <c r="AK67" i="1" s="1"/>
  <c r="AJ76" i="1"/>
  <c r="AK76" i="1" s="1"/>
  <c r="AJ74" i="1"/>
  <c r="AK74" i="1" s="1"/>
  <c r="AJ75" i="1"/>
  <c r="AK75" i="1" s="1"/>
  <c r="AJ50" i="1"/>
  <c r="AJ68" i="1"/>
  <c r="AJ78" i="1"/>
  <c r="AK78" i="1" s="1"/>
  <c r="AJ80" i="1"/>
  <c r="AK80" i="1" s="1"/>
  <c r="AJ81" i="1"/>
  <c r="AK81" i="1" s="1"/>
  <c r="AJ73" i="1"/>
  <c r="AK73" i="1" s="1"/>
  <c r="AJ77" i="1"/>
  <c r="AK77" i="1" s="1"/>
  <c r="AJ62" i="1"/>
  <c r="AJ82" i="1"/>
  <c r="AK82" i="1" s="1"/>
  <c r="AJ79" i="1"/>
  <c r="AK79" i="1" s="1"/>
  <c r="AJ86" i="1"/>
  <c r="AK86" i="1" s="1"/>
  <c r="AJ91" i="1"/>
  <c r="AJ83" i="1"/>
  <c r="AK83" i="1" s="1"/>
  <c r="AJ87" i="1"/>
  <c r="AK87" i="1" s="1"/>
  <c r="AJ88" i="1"/>
  <c r="AK88" i="1" s="1"/>
  <c r="AJ84" i="1"/>
  <c r="AK84" i="1" s="1"/>
  <c r="AJ66" i="1"/>
  <c r="AJ93" i="1"/>
  <c r="AK93" i="1" s="1"/>
  <c r="AJ90" i="1"/>
  <c r="AK90" i="1" s="1"/>
  <c r="AJ92" i="1"/>
  <c r="AK92" i="1" s="1"/>
  <c r="AJ85" i="1"/>
  <c r="AK85" i="1" s="1"/>
  <c r="AJ89" i="1"/>
  <c r="AK89" i="1" s="1"/>
  <c r="AJ95" i="1"/>
  <c r="AK95" i="1" s="1"/>
  <c r="AJ94" i="1"/>
  <c r="AK94" i="1" s="1"/>
  <c r="AJ96" i="1"/>
  <c r="AK96" i="1" s="1"/>
  <c r="AJ97" i="1"/>
  <c r="AK97" i="1" s="1"/>
  <c r="AJ98" i="1"/>
  <c r="AK98" i="1" s="1"/>
  <c r="AJ99" i="1"/>
  <c r="AK99" i="1" s="1"/>
  <c r="AJ100" i="1"/>
  <c r="AK100" i="1" s="1"/>
  <c r="AJ101" i="1"/>
  <c r="AK101" i="1" s="1"/>
  <c r="AJ102" i="1"/>
  <c r="AK102" i="1" s="1"/>
  <c r="AJ104" i="1"/>
  <c r="AJ105" i="1"/>
  <c r="AK105" i="1" s="1"/>
  <c r="AJ106" i="1"/>
  <c r="AK106" i="1" s="1"/>
  <c r="AJ107" i="1"/>
  <c r="AK107" i="1" s="1"/>
  <c r="AJ108" i="1"/>
  <c r="AK108" i="1" s="1"/>
  <c r="AJ109" i="1"/>
  <c r="AK109" i="1" s="1"/>
  <c r="AJ110" i="1"/>
  <c r="AK110" i="1" s="1"/>
  <c r="AJ111" i="1"/>
  <c r="AK111" i="1" s="1"/>
  <c r="AM12" i="1"/>
  <c r="AM9" i="1"/>
  <c r="AM7" i="1"/>
  <c r="AM8" i="1"/>
  <c r="AM17" i="1"/>
  <c r="AM20" i="1"/>
  <c r="AN20" i="1" s="1"/>
  <c r="AM10" i="1"/>
  <c r="AM18" i="1"/>
  <c r="AM19" i="1"/>
  <c r="AM15" i="1"/>
  <c r="AM21" i="1"/>
  <c r="AM11" i="1"/>
  <c r="AM22" i="1"/>
  <c r="AN22" i="1" s="1"/>
  <c r="AM16" i="1"/>
  <c r="AM23" i="1"/>
  <c r="AN23" i="1" s="1"/>
  <c r="AM14" i="1"/>
  <c r="AM13" i="1"/>
  <c r="AM24" i="1"/>
  <c r="AN24" i="1" s="1"/>
  <c r="AM31" i="1"/>
  <c r="AN31" i="1" s="1"/>
  <c r="AM26" i="1"/>
  <c r="AM27" i="1"/>
  <c r="AN27" i="1" s="1"/>
  <c r="AM28" i="1"/>
  <c r="AN28" i="1" s="1"/>
  <c r="AM34" i="1"/>
  <c r="AN34" i="1" s="1"/>
  <c r="AM30" i="1"/>
  <c r="AN30" i="1" s="1"/>
  <c r="AM32" i="1"/>
  <c r="AN32" i="1" s="1"/>
  <c r="AM25" i="1"/>
  <c r="AM40" i="1"/>
  <c r="AN40" i="1" s="1"/>
  <c r="AM29" i="1"/>
  <c r="AM33" i="1"/>
  <c r="AN33" i="1" s="1"/>
  <c r="AM36" i="1"/>
  <c r="AN36" i="1" s="1"/>
  <c r="AM35" i="1"/>
  <c r="AN35" i="1" s="1"/>
  <c r="AM42" i="1"/>
  <c r="AN42" i="1" s="1"/>
  <c r="AM103" i="1"/>
  <c r="AN103" i="1" s="1"/>
  <c r="AM38" i="1"/>
  <c r="AN38" i="1" s="1"/>
  <c r="AM46" i="1"/>
  <c r="AN46" i="1" s="1"/>
  <c r="AM37" i="1"/>
  <c r="AM39" i="1"/>
  <c r="AN39" i="1" s="1"/>
  <c r="AM52" i="1"/>
  <c r="AN52" i="1" s="1"/>
  <c r="AM49" i="1"/>
  <c r="AN49" i="1" s="1"/>
  <c r="AM59" i="1"/>
  <c r="AN59" i="1" s="1"/>
  <c r="AM44" i="1"/>
  <c r="AN44" i="1" s="1"/>
  <c r="AM41" i="1"/>
  <c r="AN41" i="1" s="1"/>
  <c r="AM43" i="1"/>
  <c r="AN43" i="1" s="1"/>
  <c r="AM45" i="1"/>
  <c r="AN45" i="1" s="1"/>
  <c r="AM51" i="1"/>
  <c r="AN51" i="1" s="1"/>
  <c r="AM54" i="1"/>
  <c r="AN54" i="1" s="1"/>
  <c r="AM47" i="1"/>
  <c r="AM48" i="1"/>
  <c r="AN48" i="1" s="1"/>
  <c r="AM60" i="1"/>
  <c r="AN60" i="1" s="1"/>
  <c r="AM65" i="1"/>
  <c r="AN65" i="1" s="1"/>
  <c r="AM57" i="1"/>
  <c r="AN57" i="1" s="1"/>
  <c r="AM55" i="1"/>
  <c r="AN55" i="1" s="1"/>
  <c r="AM56" i="1"/>
  <c r="AN56" i="1" s="1"/>
  <c r="AM63" i="1"/>
  <c r="AN63" i="1" s="1"/>
  <c r="AM72" i="1"/>
  <c r="AN72" i="1" s="1"/>
  <c r="AM61" i="1"/>
  <c r="AN61" i="1" s="1"/>
  <c r="AM58" i="1"/>
  <c r="AN58" i="1" s="1"/>
  <c r="AM53" i="1"/>
  <c r="AN53" i="1" s="1"/>
  <c r="AM71" i="1"/>
  <c r="AN71" i="1" s="1"/>
  <c r="AM69" i="1"/>
  <c r="AN69" i="1" s="1"/>
  <c r="AM64" i="1"/>
  <c r="AN64" i="1" s="1"/>
  <c r="AM70" i="1"/>
  <c r="AN70" i="1" s="1"/>
  <c r="AM67" i="1"/>
  <c r="AN67" i="1" s="1"/>
  <c r="AM76" i="1"/>
  <c r="AN76" i="1" s="1"/>
  <c r="AM74" i="1"/>
  <c r="AN74" i="1" s="1"/>
  <c r="AM75" i="1"/>
  <c r="AN75" i="1" s="1"/>
  <c r="AM50" i="1"/>
  <c r="AM68" i="1"/>
  <c r="AN68" i="1" s="1"/>
  <c r="AM78" i="1"/>
  <c r="AN78" i="1" s="1"/>
  <c r="AM80" i="1"/>
  <c r="AN80" i="1" s="1"/>
  <c r="AM81" i="1"/>
  <c r="AN81" i="1" s="1"/>
  <c r="AM73" i="1"/>
  <c r="AN73" i="1" s="1"/>
  <c r="AM77" i="1"/>
  <c r="AN77" i="1" s="1"/>
  <c r="AM62" i="1"/>
  <c r="AN62" i="1" s="1"/>
  <c r="AM82" i="1"/>
  <c r="AN82" i="1" s="1"/>
  <c r="AM79" i="1"/>
  <c r="AN79" i="1" s="1"/>
  <c r="AM86" i="1"/>
  <c r="AN86" i="1" s="1"/>
  <c r="AM91" i="1"/>
  <c r="AN91" i="1" s="1"/>
  <c r="AM83" i="1"/>
  <c r="AN83" i="1" s="1"/>
  <c r="AM87" i="1"/>
  <c r="AN87" i="1" s="1"/>
  <c r="AM88" i="1"/>
  <c r="AN88" i="1" s="1"/>
  <c r="AM84" i="1"/>
  <c r="AN84" i="1" s="1"/>
  <c r="AM66" i="1"/>
  <c r="AN66" i="1" s="1"/>
  <c r="AM93" i="1"/>
  <c r="AN93" i="1" s="1"/>
  <c r="AM90" i="1"/>
  <c r="AN90" i="1" s="1"/>
  <c r="AM92" i="1"/>
  <c r="AN92" i="1" s="1"/>
  <c r="AM85" i="1"/>
  <c r="AN85" i="1" s="1"/>
  <c r="AM89" i="1"/>
  <c r="AN89" i="1" s="1"/>
  <c r="AM95" i="1"/>
  <c r="AN95" i="1" s="1"/>
  <c r="AM94" i="1"/>
  <c r="AN94" i="1" s="1"/>
  <c r="AM96" i="1"/>
  <c r="AN96" i="1" s="1"/>
  <c r="AM97" i="1"/>
  <c r="AN97" i="1" s="1"/>
  <c r="AM98" i="1"/>
  <c r="AN98" i="1" s="1"/>
  <c r="AM99" i="1"/>
  <c r="AN99" i="1" s="1"/>
  <c r="AM100" i="1"/>
  <c r="AN100" i="1" s="1"/>
  <c r="AM101" i="1"/>
  <c r="AN101" i="1" s="1"/>
  <c r="AM102" i="1"/>
  <c r="AN102" i="1" s="1"/>
  <c r="AM104" i="1"/>
  <c r="AN104" i="1" s="1"/>
  <c r="AM105" i="1"/>
  <c r="AN105" i="1" s="1"/>
  <c r="AM106" i="1"/>
  <c r="AM107" i="1"/>
  <c r="AN107" i="1" s="1"/>
  <c r="AM108" i="1"/>
  <c r="AN108" i="1" s="1"/>
  <c r="AM109" i="1"/>
  <c r="AN109" i="1" s="1"/>
  <c r="AM110" i="1"/>
  <c r="AM111" i="1"/>
  <c r="AN111" i="1" s="1"/>
  <c r="BH52" i="1"/>
  <c r="BH59" i="1"/>
  <c r="BH72" i="1"/>
  <c r="BH71" i="1"/>
  <c r="BH70" i="1"/>
  <c r="BH67" i="1"/>
  <c r="BH76" i="1"/>
  <c r="BH74" i="1"/>
  <c r="BH78" i="1"/>
  <c r="BH80" i="1"/>
  <c r="BH81" i="1"/>
  <c r="BH77" i="1"/>
  <c r="BH82" i="1"/>
  <c r="BH91" i="1"/>
  <c r="BH83" i="1"/>
  <c r="BH93" i="1"/>
  <c r="BH92" i="1"/>
  <c r="BH94" i="1"/>
  <c r="BH97" i="1"/>
  <c r="BH98" i="1"/>
  <c r="BH99" i="1"/>
  <c r="BH100" i="1"/>
  <c r="BH101" i="1"/>
  <c r="BH102" i="1"/>
  <c r="BH109" i="1"/>
  <c r="BH110" i="1"/>
  <c r="BH111" i="1"/>
  <c r="BB109" i="1"/>
  <c r="BC109" i="1" s="1"/>
  <c r="BB12" i="1"/>
  <c r="BB9" i="1"/>
  <c r="BB7" i="1"/>
  <c r="BB8" i="1"/>
  <c r="BB17" i="1"/>
  <c r="BB20" i="1"/>
  <c r="BB10" i="1"/>
  <c r="BB18" i="1"/>
  <c r="BB19" i="1"/>
  <c r="BB15" i="1"/>
  <c r="BB21" i="1"/>
  <c r="BB11" i="1"/>
  <c r="BB22" i="1"/>
  <c r="BB16" i="1"/>
  <c r="BB23" i="1"/>
  <c r="BB14" i="1"/>
  <c r="BB13" i="1"/>
  <c r="BB24" i="1"/>
  <c r="BB31" i="1"/>
  <c r="BB26" i="1"/>
  <c r="BB27" i="1"/>
  <c r="BB28" i="1"/>
  <c r="BB34" i="1"/>
  <c r="BB30" i="1"/>
  <c r="BB32" i="1"/>
  <c r="BB25" i="1"/>
  <c r="BB40" i="1"/>
  <c r="BB29" i="1"/>
  <c r="BB33" i="1"/>
  <c r="BB36" i="1"/>
  <c r="BB35" i="1"/>
  <c r="BB42" i="1"/>
  <c r="BB103" i="1"/>
  <c r="BB38" i="1"/>
  <c r="BB46" i="1"/>
  <c r="BB37" i="1"/>
  <c r="BB39" i="1"/>
  <c r="BB52" i="1"/>
  <c r="BB49" i="1"/>
  <c r="BB59" i="1"/>
  <c r="BB44" i="1"/>
  <c r="BB41" i="1"/>
  <c r="BB43" i="1"/>
  <c r="BB45" i="1"/>
  <c r="BB51" i="1"/>
  <c r="BB54" i="1"/>
  <c r="BB47" i="1"/>
  <c r="BB48" i="1"/>
  <c r="BB60" i="1"/>
  <c r="BB65" i="1"/>
  <c r="BC65" i="1" s="1"/>
  <c r="BB57" i="1"/>
  <c r="BB55" i="1"/>
  <c r="BB56" i="1"/>
  <c r="BB63" i="1"/>
  <c r="BB72" i="1"/>
  <c r="BB61" i="1"/>
  <c r="BB58" i="1"/>
  <c r="BB53" i="1"/>
  <c r="BB71" i="1"/>
  <c r="BB69" i="1"/>
  <c r="BB64" i="1"/>
  <c r="BB70" i="1"/>
  <c r="BB67" i="1"/>
  <c r="BB76" i="1"/>
  <c r="BB74" i="1"/>
  <c r="BB75" i="1"/>
  <c r="BB50" i="1"/>
  <c r="BB68" i="1"/>
  <c r="BB78" i="1"/>
  <c r="BB80" i="1"/>
  <c r="BB81" i="1"/>
  <c r="BB73" i="1"/>
  <c r="BB77" i="1"/>
  <c r="BB62" i="1"/>
  <c r="BB82" i="1"/>
  <c r="BB79" i="1"/>
  <c r="BB86" i="1"/>
  <c r="BB91" i="1"/>
  <c r="BC91" i="1" s="1"/>
  <c r="BB83" i="1"/>
  <c r="BB87" i="1"/>
  <c r="BB88" i="1"/>
  <c r="BB84" i="1"/>
  <c r="BB66" i="1"/>
  <c r="BB93" i="1"/>
  <c r="BC93" i="1" s="1"/>
  <c r="BB90" i="1"/>
  <c r="BB92" i="1"/>
  <c r="BB85" i="1"/>
  <c r="BB89" i="1"/>
  <c r="BB95" i="1"/>
  <c r="BC95" i="1" s="1"/>
  <c r="BB94" i="1"/>
  <c r="BB96" i="1"/>
  <c r="BC96" i="1" s="1"/>
  <c r="BB97" i="1"/>
  <c r="BC97" i="1" s="1"/>
  <c r="BB98" i="1"/>
  <c r="BC98" i="1" s="1"/>
  <c r="BB99" i="1"/>
  <c r="BC99" i="1" s="1"/>
  <c r="BB100" i="1"/>
  <c r="BC100" i="1" s="1"/>
  <c r="BB101" i="1"/>
  <c r="BC101" i="1" s="1"/>
  <c r="BB102" i="1"/>
  <c r="BC102" i="1" s="1"/>
  <c r="BB107" i="1"/>
  <c r="BB105" i="1"/>
  <c r="BB106" i="1"/>
  <c r="BB104" i="1"/>
  <c r="BB108" i="1"/>
  <c r="F105" i="1"/>
  <c r="W18" i="1"/>
  <c r="W105" i="1"/>
  <c r="W20" i="1"/>
  <c r="W17" i="1"/>
  <c r="W19" i="1"/>
  <c r="W9" i="1"/>
  <c r="W107" i="1"/>
  <c r="W7" i="1"/>
  <c r="W23" i="1"/>
  <c r="W10" i="1"/>
  <c r="W16" i="1"/>
  <c r="W15" i="1"/>
  <c r="W14" i="1"/>
  <c r="W11" i="1"/>
  <c r="W28" i="1"/>
  <c r="W13" i="1"/>
  <c r="W24" i="1"/>
  <c r="W31" i="1"/>
  <c r="W21" i="1"/>
  <c r="W32" i="1"/>
  <c r="W8" i="1"/>
  <c r="W104" i="1"/>
  <c r="W26" i="1"/>
  <c r="W22" i="1"/>
  <c r="W35" i="1"/>
  <c r="W34" i="1"/>
  <c r="W27" i="1"/>
  <c r="W33" i="1"/>
  <c r="W25" i="1"/>
  <c r="W40" i="1"/>
  <c r="W43" i="1"/>
  <c r="W42" i="1"/>
  <c r="W103" i="1"/>
  <c r="W36" i="1"/>
  <c r="W29" i="1"/>
  <c r="W37" i="1"/>
  <c r="W108" i="1"/>
  <c r="W52" i="1"/>
  <c r="W38" i="1"/>
  <c r="W49" i="1"/>
  <c r="W47" i="1"/>
  <c r="W44" i="1"/>
  <c r="W39" i="1"/>
  <c r="W59" i="1"/>
  <c r="W45" i="1"/>
  <c r="W54" i="1"/>
  <c r="W48" i="1"/>
  <c r="W46" i="1"/>
  <c r="W41" i="1"/>
  <c r="W51" i="1"/>
  <c r="W60" i="1"/>
  <c r="W55" i="1"/>
  <c r="W65" i="1"/>
  <c r="W53" i="1"/>
  <c r="W74" i="1"/>
  <c r="W56" i="1"/>
  <c r="W57" i="1"/>
  <c r="W63" i="1"/>
  <c r="W72" i="1"/>
  <c r="W61" i="1"/>
  <c r="W58" i="1"/>
  <c r="W70" i="1"/>
  <c r="W76" i="1"/>
  <c r="W78" i="1"/>
  <c r="W64" i="1"/>
  <c r="W81" i="1"/>
  <c r="W69" i="1"/>
  <c r="W67" i="1"/>
  <c r="W71" i="1"/>
  <c r="W50" i="1"/>
  <c r="W75" i="1"/>
  <c r="W68" i="1"/>
  <c r="W80" i="1"/>
  <c r="W77" i="1"/>
  <c r="W62" i="1"/>
  <c r="W79" i="1"/>
  <c r="W95" i="1"/>
  <c r="W86" i="1"/>
  <c r="W73" i="1"/>
  <c r="W82" i="1"/>
  <c r="W83" i="1"/>
  <c r="W66" i="1"/>
  <c r="W91" i="1"/>
  <c r="W84" i="1"/>
  <c r="W93" i="1"/>
  <c r="W90" i="1"/>
  <c r="W87" i="1"/>
  <c r="W92" i="1"/>
  <c r="W94" i="1"/>
  <c r="W89" i="1"/>
  <c r="W109" i="1"/>
  <c r="W85" i="1"/>
  <c r="W99" i="1"/>
  <c r="W98" i="1"/>
  <c r="W100" i="1"/>
  <c r="W101" i="1"/>
  <c r="W102" i="1"/>
  <c r="W106" i="1"/>
  <c r="W30" i="1"/>
  <c r="W88" i="1"/>
  <c r="W96" i="1"/>
  <c r="W97" i="1"/>
  <c r="W12" i="1"/>
  <c r="O18" i="1"/>
  <c r="O105" i="1"/>
  <c r="O20" i="1"/>
  <c r="O17" i="1"/>
  <c r="O19" i="1"/>
  <c r="O9" i="1"/>
  <c r="O107" i="1"/>
  <c r="O7" i="1"/>
  <c r="O23" i="1"/>
  <c r="O10" i="1"/>
  <c r="O16" i="1"/>
  <c r="O15" i="1"/>
  <c r="O14" i="1"/>
  <c r="O11" i="1"/>
  <c r="O28" i="1"/>
  <c r="O13" i="1"/>
  <c r="O24" i="1"/>
  <c r="O31" i="1"/>
  <c r="O21" i="1"/>
  <c r="O32" i="1"/>
  <c r="O8" i="1"/>
  <c r="O104" i="1"/>
  <c r="O26" i="1"/>
  <c r="O22" i="1"/>
  <c r="O35" i="1"/>
  <c r="O34" i="1"/>
  <c r="O27" i="1"/>
  <c r="O33" i="1"/>
  <c r="O25" i="1"/>
  <c r="O40" i="1"/>
  <c r="O43" i="1"/>
  <c r="O42" i="1"/>
  <c r="O103" i="1"/>
  <c r="O36" i="1"/>
  <c r="O29" i="1"/>
  <c r="O37" i="1"/>
  <c r="O108" i="1"/>
  <c r="O52" i="1"/>
  <c r="O38" i="1"/>
  <c r="O49" i="1"/>
  <c r="O47" i="1"/>
  <c r="O44" i="1"/>
  <c r="O39" i="1"/>
  <c r="O59" i="1"/>
  <c r="O45" i="1"/>
  <c r="O54" i="1"/>
  <c r="O48" i="1"/>
  <c r="O46" i="1"/>
  <c r="O41" i="1"/>
  <c r="O51" i="1"/>
  <c r="O60" i="1"/>
  <c r="O55" i="1"/>
  <c r="O65" i="1"/>
  <c r="O53" i="1"/>
  <c r="O74" i="1"/>
  <c r="O56" i="1"/>
  <c r="O57" i="1"/>
  <c r="O63" i="1"/>
  <c r="O72" i="1"/>
  <c r="O61" i="1"/>
  <c r="O58" i="1"/>
  <c r="O70" i="1"/>
  <c r="O76" i="1"/>
  <c r="O78" i="1"/>
  <c r="O64" i="1"/>
  <c r="O81" i="1"/>
  <c r="O69" i="1"/>
  <c r="O67" i="1"/>
  <c r="O71" i="1"/>
  <c r="O50" i="1"/>
  <c r="O75" i="1"/>
  <c r="O68" i="1"/>
  <c r="O80" i="1"/>
  <c r="O77" i="1"/>
  <c r="O62" i="1"/>
  <c r="O79" i="1"/>
  <c r="O95" i="1"/>
  <c r="O86" i="1"/>
  <c r="O73" i="1"/>
  <c r="O82" i="1"/>
  <c r="O83" i="1"/>
  <c r="O66" i="1"/>
  <c r="O91" i="1"/>
  <c r="O84" i="1"/>
  <c r="O93" i="1"/>
  <c r="O90" i="1"/>
  <c r="O87" i="1"/>
  <c r="O92" i="1"/>
  <c r="O94" i="1"/>
  <c r="O89" i="1"/>
  <c r="O109" i="1"/>
  <c r="O85" i="1"/>
  <c r="O99" i="1"/>
  <c r="O98" i="1"/>
  <c r="O100" i="1"/>
  <c r="O101" i="1"/>
  <c r="O102" i="1"/>
  <c r="O106" i="1"/>
  <c r="O30" i="1"/>
  <c r="O88" i="1"/>
  <c r="O96" i="1"/>
  <c r="O97" i="1"/>
  <c r="O12" i="1"/>
  <c r="G18" i="1"/>
  <c r="G105" i="1"/>
  <c r="G20" i="1"/>
  <c r="G17" i="1"/>
  <c r="G19" i="1"/>
  <c r="G9" i="1"/>
  <c r="G107" i="1"/>
  <c r="G7" i="1"/>
  <c r="G23" i="1"/>
  <c r="G10" i="1"/>
  <c r="G16" i="1"/>
  <c r="G15" i="1"/>
  <c r="G14" i="1"/>
  <c r="G11" i="1"/>
  <c r="G28" i="1"/>
  <c r="G13" i="1"/>
  <c r="G24" i="1"/>
  <c r="G31" i="1"/>
  <c r="G21" i="1"/>
  <c r="G32" i="1"/>
  <c r="G8" i="1"/>
  <c r="G104" i="1"/>
  <c r="G26" i="1"/>
  <c r="G22" i="1"/>
  <c r="G35" i="1"/>
  <c r="G34" i="1"/>
  <c r="G27" i="1"/>
  <c r="G33" i="1"/>
  <c r="G25" i="1"/>
  <c r="G40" i="1"/>
  <c r="G43" i="1"/>
  <c r="G42" i="1"/>
  <c r="G103" i="1"/>
  <c r="G36" i="1"/>
  <c r="G29" i="1"/>
  <c r="G37" i="1"/>
  <c r="G108" i="1"/>
  <c r="G52" i="1"/>
  <c r="G38" i="1"/>
  <c r="G49" i="1"/>
  <c r="G47" i="1"/>
  <c r="G44" i="1"/>
  <c r="G39" i="1"/>
  <c r="G59" i="1"/>
  <c r="G45" i="1"/>
  <c r="G54" i="1"/>
  <c r="G48" i="1"/>
  <c r="G46" i="1"/>
  <c r="G41" i="1"/>
  <c r="G51" i="1"/>
  <c r="G60" i="1"/>
  <c r="G55" i="1"/>
  <c r="G65" i="1"/>
  <c r="G53" i="1"/>
  <c r="G74" i="1"/>
  <c r="G56" i="1"/>
  <c r="G57" i="1"/>
  <c r="G63" i="1"/>
  <c r="G72" i="1"/>
  <c r="G61" i="1"/>
  <c r="G58" i="1"/>
  <c r="G70" i="1"/>
  <c r="G76" i="1"/>
  <c r="G78" i="1"/>
  <c r="G64" i="1"/>
  <c r="G81" i="1"/>
  <c r="G69" i="1"/>
  <c r="G67" i="1"/>
  <c r="G71" i="1"/>
  <c r="G50" i="1"/>
  <c r="G75" i="1"/>
  <c r="G68" i="1"/>
  <c r="G80" i="1"/>
  <c r="G77" i="1"/>
  <c r="G62" i="1"/>
  <c r="G79" i="1"/>
  <c r="G95" i="1"/>
  <c r="G86" i="1"/>
  <c r="G73" i="1"/>
  <c r="G82" i="1"/>
  <c r="G83" i="1"/>
  <c r="G66" i="1"/>
  <c r="G91" i="1"/>
  <c r="G84" i="1"/>
  <c r="G93" i="1"/>
  <c r="G90" i="1"/>
  <c r="G87" i="1"/>
  <c r="G92" i="1"/>
  <c r="G94" i="1"/>
  <c r="G89" i="1"/>
  <c r="G109" i="1"/>
  <c r="G85" i="1"/>
  <c r="G99" i="1"/>
  <c r="G98" i="1"/>
  <c r="G100" i="1"/>
  <c r="G101" i="1"/>
  <c r="G102" i="1"/>
  <c r="G106" i="1"/>
  <c r="G30" i="1"/>
  <c r="G88" i="1"/>
  <c r="G96" i="1"/>
  <c r="G97" i="1"/>
  <c r="G12" i="1"/>
  <c r="AZ12" i="1" l="1"/>
  <c r="AZ41" i="1"/>
  <c r="AZ24" i="1"/>
  <c r="AZ44" i="1"/>
  <c r="AY6" i="1"/>
  <c r="AZ74" i="1" s="1"/>
  <c r="AE74" i="1" s="1"/>
  <c r="AY5" i="1"/>
  <c r="AE98" i="1"/>
  <c r="F98" i="1" s="1"/>
  <c r="AE90" i="1"/>
  <c r="AE86" i="1"/>
  <c r="AE78" i="1"/>
  <c r="AE64" i="1"/>
  <c r="AE39" i="1"/>
  <c r="AM5" i="1"/>
  <c r="AN110" i="1"/>
  <c r="AE110" i="1" s="1"/>
  <c r="AE101" i="1"/>
  <c r="F101" i="1" s="1"/>
  <c r="AE89" i="1"/>
  <c r="AE87" i="1"/>
  <c r="AE73" i="1"/>
  <c r="AE76" i="1"/>
  <c r="AE48" i="1"/>
  <c r="AE59" i="1"/>
  <c r="AE109" i="1"/>
  <c r="AE100" i="1"/>
  <c r="F100" i="1" s="1"/>
  <c r="AE85" i="1"/>
  <c r="AE83" i="1"/>
  <c r="AE81" i="1"/>
  <c r="AE72" i="1"/>
  <c r="AE49" i="1"/>
  <c r="AE35" i="1"/>
  <c r="AE108" i="1"/>
  <c r="AE99" i="1"/>
  <c r="F99" i="1" s="1"/>
  <c r="AE92" i="1"/>
  <c r="AE80" i="1"/>
  <c r="AE63" i="1"/>
  <c r="AE54" i="1"/>
  <c r="AE52" i="1"/>
  <c r="AE97" i="1"/>
  <c r="F97" i="1" s="1"/>
  <c r="AE93" i="1"/>
  <c r="F93" i="1" s="1"/>
  <c r="AE57" i="1"/>
  <c r="AE31" i="1"/>
  <c r="AE96" i="1"/>
  <c r="AE94" i="1"/>
  <c r="AE84" i="1"/>
  <c r="AE75" i="1"/>
  <c r="AE38" i="1"/>
  <c r="AE79" i="1"/>
  <c r="AE71" i="1"/>
  <c r="AE111" i="1"/>
  <c r="AE102" i="1"/>
  <c r="F102" i="1" s="1"/>
  <c r="AE95" i="1"/>
  <c r="AE88" i="1"/>
  <c r="AE77" i="1"/>
  <c r="AE58" i="1"/>
  <c r="AE103" i="1"/>
  <c r="AE32" i="1"/>
  <c r="AE82" i="1"/>
  <c r="AE43" i="1"/>
  <c r="AE105" i="1"/>
  <c r="AE46" i="1"/>
  <c r="AG5" i="1"/>
  <c r="AN106" i="1"/>
  <c r="AE106" i="1" s="1"/>
  <c r="AJ5" i="1"/>
  <c r="BG5" i="1"/>
  <c r="AZ16" i="1" l="1"/>
  <c r="AZ33" i="1"/>
  <c r="AZ15" i="1"/>
  <c r="AZ7" i="1"/>
  <c r="AZ10" i="1"/>
  <c r="AZ107" i="1"/>
  <c r="AZ8" i="1"/>
  <c r="AZ17" i="1"/>
  <c r="AZ21" i="1"/>
  <c r="AZ37" i="1"/>
  <c r="AZ69" i="1"/>
  <c r="AZ18" i="1"/>
  <c r="AZ25" i="1"/>
  <c r="AY4" i="1"/>
  <c r="AZ14" i="1"/>
  <c r="AZ40" i="1"/>
  <c r="AE40" i="1" s="1"/>
  <c r="AZ11" i="1"/>
  <c r="AZ19" i="1"/>
  <c r="AZ13" i="1"/>
  <c r="AZ23" i="1"/>
  <c r="AE23" i="1" s="1"/>
  <c r="AZ47" i="1"/>
  <c r="AZ20" i="1"/>
  <c r="AZ28" i="1"/>
  <c r="AZ29" i="1"/>
  <c r="AZ30" i="1"/>
  <c r="AZ104" i="1"/>
  <c r="AZ26" i="1"/>
  <c r="AZ42" i="1"/>
  <c r="AE42" i="1" s="1"/>
  <c r="AZ34" i="1"/>
  <c r="AZ50" i="1"/>
  <c r="AZ9" i="1"/>
  <c r="AZ65" i="1"/>
  <c r="AZ67" i="1"/>
  <c r="AE67" i="1" s="1"/>
  <c r="AF5" i="1"/>
  <c r="I5" i="1"/>
  <c r="O5" i="1"/>
  <c r="L5" i="1"/>
  <c r="G5" i="1"/>
  <c r="AZ6" i="1" l="1"/>
  <c r="AZ4" i="1" s="1"/>
  <c r="AZ5" i="1"/>
  <c r="AF6" i="1"/>
  <c r="AF4" i="1" s="1"/>
  <c r="H5" i="1"/>
  <c r="AI5" i="1"/>
  <c r="R5" i="1"/>
  <c r="K5" i="1"/>
  <c r="T5" i="1"/>
  <c r="BA5" i="1"/>
  <c r="BA6" i="1" s="1"/>
  <c r="BA4" i="1" s="1"/>
  <c r="J5" i="1"/>
  <c r="W5" i="1"/>
  <c r="AL5" i="1"/>
  <c r="P5" i="1"/>
  <c r="Q5" i="1"/>
  <c r="BB5" i="1"/>
  <c r="BB6" i="1" s="1"/>
  <c r="BC18" i="1" s="1"/>
  <c r="S5" i="1"/>
  <c r="BC69" i="1" l="1"/>
  <c r="BC31" i="1"/>
  <c r="BC66" i="1"/>
  <c r="BC75" i="1"/>
  <c r="BC60" i="1"/>
  <c r="BC103" i="1"/>
  <c r="BC13" i="1"/>
  <c r="BC12" i="1"/>
  <c r="BC104" i="1"/>
  <c r="BC88" i="1"/>
  <c r="BC73" i="1"/>
  <c r="BC76" i="1"/>
  <c r="F76" i="1" s="1"/>
  <c r="BC61" i="1"/>
  <c r="BC47" i="1"/>
  <c r="BC49" i="1"/>
  <c r="BC35" i="1"/>
  <c r="BC34" i="1"/>
  <c r="BC23" i="1"/>
  <c r="BC10" i="1"/>
  <c r="BC71" i="1"/>
  <c r="F71" i="1" s="1"/>
  <c r="BC92" i="1"/>
  <c r="F92" i="1" s="1"/>
  <c r="BC43" i="1"/>
  <c r="BC7" i="1"/>
  <c r="BC90" i="1"/>
  <c r="BC50" i="1"/>
  <c r="BC38" i="1"/>
  <c r="BC24" i="1"/>
  <c r="BC15" i="1"/>
  <c r="BC94" i="1"/>
  <c r="F94" i="1" s="1"/>
  <c r="BC87" i="1"/>
  <c r="BC81" i="1"/>
  <c r="F81" i="1" s="1"/>
  <c r="BC67" i="1"/>
  <c r="F67" i="1" s="1"/>
  <c r="BC72" i="1"/>
  <c r="F72" i="1" s="1"/>
  <c r="BC54" i="1"/>
  <c r="BC52" i="1"/>
  <c r="F52" i="1" s="1"/>
  <c r="BC36" i="1"/>
  <c r="BC28" i="1"/>
  <c r="BC16" i="1"/>
  <c r="BC20" i="1"/>
  <c r="BC89" i="1"/>
  <c r="BC83" i="1"/>
  <c r="F83" i="1" s="1"/>
  <c r="BC80" i="1"/>
  <c r="F80" i="1" s="1"/>
  <c r="BC70" i="1"/>
  <c r="BC63" i="1"/>
  <c r="BC51" i="1"/>
  <c r="BC39" i="1"/>
  <c r="BC33" i="1"/>
  <c r="BC27" i="1"/>
  <c r="BC22" i="1"/>
  <c r="BC17" i="1"/>
  <c r="BC108" i="1"/>
  <c r="BC55" i="1"/>
  <c r="BC40" i="1"/>
  <c r="BC82" i="1"/>
  <c r="F82" i="1" s="1"/>
  <c r="BC41" i="1"/>
  <c r="BC25" i="1"/>
  <c r="BC9" i="1"/>
  <c r="BC106" i="1"/>
  <c r="BC85" i="1"/>
  <c r="BC86" i="1"/>
  <c r="BC78" i="1"/>
  <c r="F78" i="1" s="1"/>
  <c r="BC64" i="1"/>
  <c r="BC56" i="1"/>
  <c r="BC45" i="1"/>
  <c r="BC37" i="1"/>
  <c r="BC29" i="1"/>
  <c r="BC26" i="1"/>
  <c r="BC11" i="1"/>
  <c r="BC8" i="1"/>
  <c r="BB4" i="1"/>
  <c r="BC68" i="1"/>
  <c r="BC21" i="1"/>
  <c r="BC107" i="1"/>
  <c r="BC57" i="1"/>
  <c r="BC79" i="1"/>
  <c r="BC46" i="1"/>
  <c r="BC62" i="1"/>
  <c r="BC53" i="1"/>
  <c r="BC44" i="1"/>
  <c r="BC32" i="1"/>
  <c r="BC19" i="1"/>
  <c r="BC105" i="1"/>
  <c r="BC84" i="1"/>
  <c r="BC77" i="1"/>
  <c r="F77" i="1" s="1"/>
  <c r="BC74" i="1"/>
  <c r="F74" i="1" s="1"/>
  <c r="BC58" i="1"/>
  <c r="BC48" i="1"/>
  <c r="BC59" i="1"/>
  <c r="F59" i="1" s="1"/>
  <c r="BC42" i="1"/>
  <c r="BC30" i="1"/>
  <c r="BC14" i="1"/>
  <c r="T6" i="1"/>
  <c r="T4" i="1" s="1"/>
  <c r="H6" i="1"/>
  <c r="H4" i="1" s="1"/>
  <c r="AI6" i="1"/>
  <c r="AI4" i="1" s="1"/>
  <c r="G6" i="1"/>
  <c r="G4" i="1" s="1"/>
  <c r="AJ6" i="1"/>
  <c r="AJ4" i="1" s="1"/>
  <c r="AM6" i="1"/>
  <c r="AM4" i="1" s="1"/>
  <c r="I6" i="1"/>
  <c r="I4" i="1" s="1"/>
  <c r="AL6" i="1"/>
  <c r="AL4" i="1" s="1"/>
  <c r="S6" i="1"/>
  <c r="S4" i="1" s="1"/>
  <c r="AG6" i="1"/>
  <c r="L6" i="1"/>
  <c r="L4" i="1" s="1"/>
  <c r="P6" i="1"/>
  <c r="P4" i="1" s="1"/>
  <c r="J6" i="1"/>
  <c r="J4" i="1" s="1"/>
  <c r="BC5" i="1" l="1"/>
  <c r="AN14" i="1"/>
  <c r="AE14" i="1" s="1"/>
  <c r="AN9" i="1"/>
  <c r="AN18" i="1"/>
  <c r="AN11" i="1"/>
  <c r="AN17" i="1"/>
  <c r="AN8" i="1"/>
  <c r="AN13" i="1"/>
  <c r="AN19" i="1"/>
  <c r="AN50" i="1"/>
  <c r="AN47" i="1"/>
  <c r="AN10" i="1"/>
  <c r="AN12" i="1"/>
  <c r="AN21" i="1"/>
  <c r="AN7" i="1"/>
  <c r="AN37" i="1"/>
  <c r="AN25" i="1"/>
  <c r="AN29" i="1"/>
  <c r="AN15" i="1"/>
  <c r="AN16" i="1"/>
  <c r="AN26" i="1"/>
  <c r="AK28" i="1"/>
  <c r="AK17" i="1"/>
  <c r="AK44" i="1"/>
  <c r="AE44" i="1" s="1"/>
  <c r="AK47" i="1"/>
  <c r="AK26" i="1"/>
  <c r="AK56" i="1"/>
  <c r="AE56" i="1" s="1"/>
  <c r="AK20" i="1"/>
  <c r="AK104" i="1"/>
  <c r="AK13" i="1"/>
  <c r="AK34" i="1"/>
  <c r="AE34" i="1" s="1"/>
  <c r="AK11" i="1"/>
  <c r="AK66" i="1"/>
  <c r="AE66" i="1" s="1"/>
  <c r="AK7" i="1"/>
  <c r="AK62" i="1"/>
  <c r="AE62" i="1" s="1"/>
  <c r="AK19" i="1"/>
  <c r="AK10" i="1"/>
  <c r="AK8" i="1"/>
  <c r="AK50" i="1"/>
  <c r="AK65" i="1"/>
  <c r="AE65" i="1" s="1"/>
  <c r="AK12" i="1"/>
  <c r="AK68" i="1"/>
  <c r="AE68" i="1" s="1"/>
  <c r="AK25" i="1"/>
  <c r="AK61" i="1"/>
  <c r="AE61" i="1" s="1"/>
  <c r="AK18" i="1"/>
  <c r="AK91" i="1"/>
  <c r="AE91" i="1" s="1"/>
  <c r="F91" i="1" s="1"/>
  <c r="AK24" i="1"/>
  <c r="AK30" i="1"/>
  <c r="AE30" i="1" s="1"/>
  <c r="AK69" i="1"/>
  <c r="AE69" i="1" s="1"/>
  <c r="AK70" i="1"/>
  <c r="AE70" i="1" s="1"/>
  <c r="F70" i="1" s="1"/>
  <c r="AK51" i="1"/>
  <c r="AE51" i="1" s="1"/>
  <c r="AK15" i="1"/>
  <c r="AK55" i="1"/>
  <c r="AE55" i="1" s="1"/>
  <c r="AK36" i="1"/>
  <c r="AE36" i="1" s="1"/>
  <c r="AK22" i="1"/>
  <c r="AE22" i="1" s="1"/>
  <c r="AK9" i="1"/>
  <c r="AK60" i="1"/>
  <c r="AE60" i="1" s="1"/>
  <c r="AK45" i="1"/>
  <c r="AE45" i="1" s="1"/>
  <c r="BC6" i="1"/>
  <c r="AH107" i="1"/>
  <c r="AE107" i="1" s="1"/>
  <c r="AH9" i="1"/>
  <c r="AH37" i="1"/>
  <c r="AH33" i="1"/>
  <c r="AE33" i="1" s="1"/>
  <c r="AH13" i="1"/>
  <c r="AH11" i="1"/>
  <c r="AH27" i="1"/>
  <c r="AE27" i="1" s="1"/>
  <c r="AH19" i="1"/>
  <c r="AH8" i="1"/>
  <c r="AH104" i="1"/>
  <c r="AH12" i="1"/>
  <c r="AH18" i="1"/>
  <c r="AH17" i="1"/>
  <c r="AH21" i="1"/>
  <c r="AH24" i="1"/>
  <c r="AH28" i="1"/>
  <c r="AH53" i="1"/>
  <c r="AE53" i="1" s="1"/>
  <c r="AH7" i="1"/>
  <c r="AH16" i="1"/>
  <c r="AH41" i="1"/>
  <c r="AE41" i="1" s="1"/>
  <c r="AH10" i="1"/>
  <c r="AH20" i="1"/>
  <c r="AH29" i="1"/>
  <c r="AH15" i="1"/>
  <c r="AG4" i="1"/>
  <c r="AE37" i="1" l="1"/>
  <c r="AE28" i="1"/>
  <c r="AE21" i="1"/>
  <c r="AE20" i="1"/>
  <c r="AE16" i="1"/>
  <c r="AE15" i="1"/>
  <c r="AE26" i="1"/>
  <c r="AE8" i="1"/>
  <c r="AE19" i="1"/>
  <c r="BC4" i="1"/>
  <c r="AE18" i="1"/>
  <c r="AE12" i="1"/>
  <c r="AH5" i="1"/>
  <c r="AH6" i="1"/>
  <c r="AE29" i="1"/>
  <c r="AN5" i="1"/>
  <c r="AN6" i="1"/>
  <c r="AE7" i="1"/>
  <c r="AE104" i="1"/>
  <c r="AE9" i="1"/>
  <c r="AE25" i="1"/>
  <c r="AE47" i="1"/>
  <c r="AK5" i="1"/>
  <c r="AK6" i="1"/>
  <c r="AE11" i="1"/>
  <c r="AE10" i="1"/>
  <c r="AE17" i="1"/>
  <c r="AE13" i="1"/>
  <c r="AE24" i="1"/>
  <c r="AE50" i="1"/>
  <c r="AK4" i="1" l="1"/>
  <c r="AH4" i="1"/>
  <c r="AN4" i="1"/>
  <c r="AE5" i="1"/>
  <c r="AE6" i="1"/>
  <c r="BG6" i="1"/>
  <c r="BH18" i="1" s="1"/>
  <c r="F18" i="1" s="1"/>
  <c r="K6" i="1"/>
  <c r="K4" i="1" s="1"/>
  <c r="W6" i="1"/>
  <c r="W4" i="1" s="1"/>
  <c r="Q6" i="1"/>
  <c r="Q4" i="1" s="1"/>
  <c r="R6" i="1"/>
  <c r="R4" i="1" s="1"/>
  <c r="O6" i="1"/>
  <c r="O4" i="1" s="1"/>
  <c r="AE4" i="1" l="1"/>
  <c r="BH12" i="1"/>
  <c r="F12" i="1" s="1"/>
  <c r="BH43" i="1"/>
  <c r="F43" i="1" s="1"/>
  <c r="BH48" i="1"/>
  <c r="F48" i="1" s="1"/>
  <c r="BH75" i="1"/>
  <c r="F75" i="1" s="1"/>
  <c r="BH45" i="1"/>
  <c r="F45" i="1" s="1"/>
  <c r="BH29" i="1"/>
  <c r="F29" i="1" s="1"/>
  <c r="BH96" i="1"/>
  <c r="F96" i="1" s="1"/>
  <c r="BH35" i="1"/>
  <c r="F35" i="1" s="1"/>
  <c r="BH42" i="1"/>
  <c r="F42" i="1" s="1"/>
  <c r="BH44" i="1"/>
  <c r="F44" i="1" s="1"/>
  <c r="BH68" i="1"/>
  <c r="F68" i="1" s="1"/>
  <c r="BH22" i="1"/>
  <c r="F22" i="1" s="1"/>
  <c r="BH17" i="1"/>
  <c r="F17" i="1" s="1"/>
  <c r="BH65" i="1"/>
  <c r="F65" i="1" s="1"/>
  <c r="BH79" i="1"/>
  <c r="F79" i="1" s="1"/>
  <c r="BH95" i="1"/>
  <c r="F95" i="1" s="1"/>
  <c r="BH58" i="1"/>
  <c r="F58" i="1" s="1"/>
  <c r="BH64" i="1"/>
  <c r="F64" i="1" s="1"/>
  <c r="BH36" i="1"/>
  <c r="F36" i="1" s="1"/>
  <c r="BH38" i="1"/>
  <c r="F38" i="1" s="1"/>
  <c r="BH14" i="1"/>
  <c r="F14" i="1" s="1"/>
  <c r="BH51" i="1"/>
  <c r="F51" i="1" s="1"/>
  <c r="BH53" i="1"/>
  <c r="F53" i="1" s="1"/>
  <c r="BH8" i="1"/>
  <c r="F8" i="1" s="1"/>
  <c r="BH108" i="1"/>
  <c r="BH73" i="1"/>
  <c r="F73" i="1" s="1"/>
  <c r="BH46" i="1"/>
  <c r="F46" i="1" s="1"/>
  <c r="BH15" i="1"/>
  <c r="F15" i="1" s="1"/>
  <c r="BH33" i="1"/>
  <c r="F33" i="1" s="1"/>
  <c r="BH30" i="1"/>
  <c r="F30" i="1" s="1"/>
  <c r="BH107" i="1"/>
  <c r="BH104" i="1"/>
  <c r="BH49" i="1"/>
  <c r="F49" i="1" s="1"/>
  <c r="BH63" i="1"/>
  <c r="F63" i="1" s="1"/>
  <c r="BH86" i="1"/>
  <c r="F86" i="1" s="1"/>
  <c r="BH89" i="1"/>
  <c r="F89" i="1" s="1"/>
  <c r="BH84" i="1"/>
  <c r="F84" i="1" s="1"/>
  <c r="BH40" i="1"/>
  <c r="F40" i="1" s="1"/>
  <c r="BH50" i="1"/>
  <c r="F50" i="1" s="1"/>
  <c r="BH7" i="1"/>
  <c r="F7" i="1" s="1"/>
  <c r="BH90" i="1"/>
  <c r="F90" i="1" s="1"/>
  <c r="BH34" i="1"/>
  <c r="F34" i="1" s="1"/>
  <c r="BH39" i="1"/>
  <c r="F39" i="1" s="1"/>
  <c r="BH41" i="1"/>
  <c r="F41" i="1" s="1"/>
  <c r="BH26" i="1"/>
  <c r="F26" i="1" s="1"/>
  <c r="BH24" i="1"/>
  <c r="F24" i="1" s="1"/>
  <c r="BH103" i="1"/>
  <c r="BH106" i="1"/>
  <c r="BH31" i="1"/>
  <c r="F31" i="1" s="1"/>
  <c r="BH87" i="1"/>
  <c r="F87" i="1" s="1"/>
  <c r="BH85" i="1"/>
  <c r="F85" i="1" s="1"/>
  <c r="BH37" i="1"/>
  <c r="F37" i="1" s="1"/>
  <c r="BH47" i="1"/>
  <c r="F47" i="1" s="1"/>
  <c r="BG4" i="1"/>
  <c r="BH105" i="1"/>
  <c r="BH88" i="1"/>
  <c r="F88" i="1" s="1"/>
  <c r="BH23" i="1"/>
  <c r="F23" i="1" s="1"/>
  <c r="BH60" i="1"/>
  <c r="F60" i="1" s="1"/>
  <c r="BH56" i="1"/>
  <c r="F56" i="1" s="1"/>
  <c r="BH21" i="1"/>
  <c r="F21" i="1" s="1"/>
  <c r="BH57" i="1"/>
  <c r="F57" i="1" s="1"/>
  <c r="BH54" i="1"/>
  <c r="F54" i="1" s="1"/>
  <c r="BH32" i="1"/>
  <c r="F32" i="1" s="1"/>
  <c r="BH16" i="1"/>
  <c r="F16" i="1" s="1"/>
  <c r="BH55" i="1"/>
  <c r="F55" i="1" s="1"/>
  <c r="BH61" i="1"/>
  <c r="F61" i="1" s="1"/>
  <c r="BH19" i="1"/>
  <c r="F19" i="1" s="1"/>
  <c r="BH20" i="1"/>
  <c r="F20" i="1" s="1"/>
  <c r="BH69" i="1"/>
  <c r="F69" i="1" s="1"/>
  <c r="BH66" i="1"/>
  <c r="F66" i="1" s="1"/>
  <c r="BH9" i="1"/>
  <c r="BH25" i="1"/>
  <c r="F25" i="1" s="1"/>
  <c r="BH10" i="1"/>
  <c r="F10" i="1" s="1"/>
  <c r="BH27" i="1"/>
  <c r="F27" i="1" s="1"/>
  <c r="BH28" i="1"/>
  <c r="F28" i="1" s="1"/>
  <c r="BH62" i="1"/>
  <c r="F62" i="1" s="1"/>
  <c r="BH13" i="1"/>
  <c r="F13" i="1" s="1"/>
  <c r="BH11" i="1"/>
  <c r="F11" i="1" s="1"/>
  <c r="BH5" i="1" l="1"/>
  <c r="F9" i="1"/>
  <c r="BH6" i="1"/>
  <c r="BH4" i="1" l="1"/>
</calcChain>
</file>

<file path=xl/sharedStrings.xml><?xml version="1.0" encoding="utf-8"?>
<sst xmlns="http://schemas.openxmlformats.org/spreadsheetml/2006/main" count="361" uniqueCount="189">
  <si>
    <t>Rank</t>
    <phoneticPr fontId="2" type="noConversion"/>
  </si>
  <si>
    <t>ID</t>
    <phoneticPr fontId="2" type="noConversion"/>
  </si>
  <si>
    <t>Total</t>
    <phoneticPr fontId="2" type="noConversion"/>
  </si>
  <si>
    <t xml:space="preserve">VS 1 </t>
    <phoneticPr fontId="2" type="noConversion"/>
  </si>
  <si>
    <t>VS 2</t>
    <phoneticPr fontId="2" type="noConversion"/>
  </si>
  <si>
    <t>VS 3</t>
    <phoneticPr fontId="2" type="noConversion"/>
  </si>
  <si>
    <t>Don. 1</t>
    <phoneticPr fontId="2" type="noConversion"/>
  </si>
  <si>
    <t>Don. 2</t>
    <phoneticPr fontId="2" type="noConversion"/>
  </si>
  <si>
    <t>Don. 3</t>
    <phoneticPr fontId="2" type="noConversion"/>
  </si>
  <si>
    <t>DS 1</t>
    <phoneticPr fontId="2" type="noConversion"/>
  </si>
  <si>
    <t>DS 2</t>
    <phoneticPr fontId="2" type="noConversion"/>
  </si>
  <si>
    <t>DS 3</t>
    <phoneticPr fontId="2" type="noConversion"/>
  </si>
  <si>
    <t>DS 4</t>
    <phoneticPr fontId="2" type="noConversion"/>
  </si>
  <si>
    <t>指挥官29b561615</t>
    <phoneticPr fontId="2" type="noConversion"/>
  </si>
  <si>
    <t>A20</t>
    <phoneticPr fontId="2" type="noConversion"/>
  </si>
  <si>
    <t>吳董欸</t>
    <phoneticPr fontId="2" type="noConversion"/>
  </si>
  <si>
    <t>LingLing玲玲</t>
    <phoneticPr fontId="2" type="noConversion"/>
  </si>
  <si>
    <t>B20</t>
    <phoneticPr fontId="2" type="noConversion"/>
  </si>
  <si>
    <t>MMYA</t>
    <phoneticPr fontId="2" type="noConversion"/>
  </si>
  <si>
    <t>極速快閃王者</t>
    <phoneticPr fontId="2" type="noConversion"/>
  </si>
  <si>
    <t>maxdeca</t>
    <phoneticPr fontId="2" type="noConversion"/>
  </si>
  <si>
    <t>UnkoandNiku</t>
    <phoneticPr fontId="2" type="noConversion"/>
  </si>
  <si>
    <t>改个啥名呢</t>
    <phoneticPr fontId="2" type="noConversion"/>
  </si>
  <si>
    <t>蘋果拾柒丼</t>
    <phoneticPr fontId="2" type="noConversion"/>
  </si>
  <si>
    <t>KensDarksoul</t>
  </si>
  <si>
    <t>WadaSG</t>
    <phoneticPr fontId="2" type="noConversion"/>
  </si>
  <si>
    <t>OQoQ</t>
    <phoneticPr fontId="2" type="noConversion"/>
  </si>
  <si>
    <t>KnucklesHuang</t>
    <phoneticPr fontId="2" type="noConversion"/>
  </si>
  <si>
    <t>拓跋鬼</t>
    <phoneticPr fontId="2" type="noConversion"/>
  </si>
  <si>
    <t>指挥官1bde11615</t>
    <phoneticPr fontId="2" type="noConversion"/>
  </si>
  <si>
    <t>閃耀的心</t>
    <phoneticPr fontId="2" type="noConversion"/>
  </si>
  <si>
    <t>A10</t>
    <phoneticPr fontId="2" type="noConversion"/>
  </si>
  <si>
    <t>tata1974</t>
    <phoneticPr fontId="2" type="noConversion"/>
  </si>
  <si>
    <t>Khoai vn</t>
    <phoneticPr fontId="2" type="noConversion"/>
  </si>
  <si>
    <t>B10</t>
    <phoneticPr fontId="2" type="noConversion"/>
  </si>
  <si>
    <t>荒野土地公</t>
    <phoneticPr fontId="2" type="noConversion"/>
  </si>
  <si>
    <t>跳房子</t>
    <phoneticPr fontId="2" type="noConversion"/>
  </si>
  <si>
    <t>Peach西瓜</t>
    <phoneticPr fontId="2" type="noConversion"/>
  </si>
  <si>
    <t>Silver shot</t>
    <phoneticPr fontId="2" type="noConversion"/>
  </si>
  <si>
    <t>Vô Cực Ý Đạo</t>
  </si>
  <si>
    <t>Trăng xanh</t>
  </si>
  <si>
    <t>chuanli</t>
    <phoneticPr fontId="2" type="noConversion"/>
  </si>
  <si>
    <t>短腿小姐姐</t>
    <phoneticPr fontId="2" type="noConversion"/>
  </si>
  <si>
    <t>柏睿小子</t>
    <phoneticPr fontId="2" type="noConversion"/>
  </si>
  <si>
    <t>翊髮彌</t>
    <phoneticPr fontId="2" type="noConversion"/>
  </si>
  <si>
    <t>蜜蜂網球王</t>
    <phoneticPr fontId="2" type="noConversion"/>
  </si>
  <si>
    <t>NALE HS</t>
    <phoneticPr fontId="2" type="noConversion"/>
  </si>
  <si>
    <t>鱼梨</t>
    <phoneticPr fontId="2" type="noConversion"/>
  </si>
  <si>
    <t>翻车鱼2</t>
    <phoneticPr fontId="2" type="noConversion"/>
  </si>
  <si>
    <t>buddha030303</t>
    <phoneticPr fontId="2" type="noConversion"/>
  </si>
  <si>
    <t>SkyRed15</t>
    <phoneticPr fontId="2" type="noConversion"/>
  </si>
  <si>
    <t>ohworia</t>
    <phoneticPr fontId="2" type="noConversion"/>
  </si>
  <si>
    <t>就是VC</t>
    <phoneticPr fontId="2" type="noConversion"/>
  </si>
  <si>
    <t>Ứ Tin</t>
  </si>
  <si>
    <t>Rồng Nhỏ</t>
  </si>
  <si>
    <t>Min1976</t>
    <phoneticPr fontId="2" type="noConversion"/>
  </si>
  <si>
    <t>zen</t>
    <phoneticPr fontId="2" type="noConversion"/>
  </si>
  <si>
    <t>Bukit Timah</t>
    <phoneticPr fontId="2" type="noConversion"/>
  </si>
  <si>
    <t>森上 梅有黔</t>
    <phoneticPr fontId="2" type="noConversion"/>
  </si>
  <si>
    <t>buluthz27</t>
    <phoneticPr fontId="2" type="noConversion"/>
  </si>
  <si>
    <t>Laura Chien</t>
    <phoneticPr fontId="2" type="noConversion"/>
  </si>
  <si>
    <t>懶覺供酒桃</t>
    <phoneticPr fontId="2" type="noConversion"/>
  </si>
  <si>
    <t>Daleee蒂蒂</t>
    <phoneticPr fontId="2" type="noConversion"/>
  </si>
  <si>
    <t>张Babe</t>
    <phoneticPr fontId="2" type="noConversion"/>
  </si>
  <si>
    <t>ToanPham</t>
  </si>
  <si>
    <t>Blackeyepeac</t>
    <phoneticPr fontId="2" type="noConversion"/>
  </si>
  <si>
    <t>指挥官370c21615</t>
    <phoneticPr fontId="2" type="noConversion"/>
  </si>
  <si>
    <t>Louiselin</t>
    <phoneticPr fontId="2" type="noConversion"/>
  </si>
  <si>
    <t>MyWayne</t>
    <phoneticPr fontId="2" type="noConversion"/>
  </si>
  <si>
    <t>Kaserna</t>
    <phoneticPr fontId="2" type="noConversion"/>
  </si>
  <si>
    <t>Chỉ Huy 2b8511615</t>
  </si>
  <si>
    <t>詩詩Kwan Mỹ Thi</t>
  </si>
  <si>
    <t>FightningFalcon</t>
    <phoneticPr fontId="2" type="noConversion"/>
  </si>
  <si>
    <t>趴趴熊趴趴</t>
    <phoneticPr fontId="2" type="noConversion"/>
  </si>
  <si>
    <t>tntn2015</t>
    <phoneticPr fontId="2" type="noConversion"/>
  </si>
  <si>
    <t>踴躍發言西挖</t>
    <phoneticPr fontId="2" type="noConversion"/>
  </si>
  <si>
    <t>Nyxaria</t>
    <phoneticPr fontId="2" type="noConversion"/>
  </si>
  <si>
    <t>煞時間</t>
    <phoneticPr fontId="2" type="noConversion"/>
  </si>
  <si>
    <t>黑暗的心</t>
    <phoneticPr fontId="2" type="noConversion"/>
  </si>
  <si>
    <t>HelloChina</t>
    <phoneticPr fontId="2" type="noConversion"/>
  </si>
  <si>
    <t>azan haider</t>
    <phoneticPr fontId="2" type="noConversion"/>
  </si>
  <si>
    <t>布丁狗隊長</t>
    <phoneticPr fontId="2" type="noConversion"/>
  </si>
  <si>
    <t>Đình Chính Nè</t>
  </si>
  <si>
    <t>其小光美</t>
    <phoneticPr fontId="2" type="noConversion"/>
  </si>
  <si>
    <t>DiDaDiDa</t>
    <phoneticPr fontId="2" type="noConversion"/>
  </si>
  <si>
    <t>依柏雷</t>
    <phoneticPr fontId="2" type="noConversion"/>
  </si>
  <si>
    <t>大智若黑鮪魚</t>
    <phoneticPr fontId="2" type="noConversion"/>
  </si>
  <si>
    <t>swat khan1255</t>
    <phoneticPr fontId="2" type="noConversion"/>
  </si>
  <si>
    <t>DuckSide</t>
    <phoneticPr fontId="2" type="noConversion"/>
  </si>
  <si>
    <t>SkullUD</t>
    <phoneticPr fontId="2" type="noConversion"/>
  </si>
  <si>
    <t>奇妙的瀚翰</t>
    <phoneticPr fontId="2" type="noConversion"/>
  </si>
  <si>
    <r>
      <t>s</t>
    </r>
    <r>
      <rPr>
        <sz val="12"/>
        <rFont val="等线"/>
        <family val="2"/>
        <scheme val="minor"/>
      </rPr>
      <t>ơ</t>
    </r>
    <r>
      <rPr>
        <sz val="12"/>
        <rFont val="等线"/>
        <family val="3"/>
        <charset val="134"/>
        <scheme val="minor"/>
      </rPr>
      <t>n 234</t>
    </r>
    <phoneticPr fontId="2" type="noConversion"/>
  </si>
  <si>
    <t>Warpath100000</t>
    <phoneticPr fontId="2" type="noConversion"/>
  </si>
  <si>
    <t>hàn lão ma</t>
  </si>
  <si>
    <t>rd89</t>
    <phoneticPr fontId="2" type="noConversion"/>
  </si>
  <si>
    <t>viper061</t>
  </si>
  <si>
    <t>闊海 頭文字D</t>
    <phoneticPr fontId="2" type="noConversion"/>
  </si>
  <si>
    <t>shang6365</t>
    <phoneticPr fontId="2" type="noConversion"/>
  </si>
  <si>
    <t>BeardBaba</t>
    <phoneticPr fontId="2" type="noConversion"/>
  </si>
  <si>
    <t>G8Team</t>
    <phoneticPr fontId="2" type="noConversion"/>
  </si>
  <si>
    <t>Princess Elsaa</t>
    <phoneticPr fontId="2" type="noConversion"/>
  </si>
  <si>
    <t>FogãoGlacial</t>
  </si>
  <si>
    <t>Akkkkkkkkk2</t>
    <phoneticPr fontId="2" type="noConversion"/>
  </si>
  <si>
    <t>獨孤渣渣</t>
    <phoneticPr fontId="2" type="noConversion"/>
  </si>
  <si>
    <t>AnhGiang226</t>
    <phoneticPr fontId="2" type="noConversion"/>
  </si>
  <si>
    <t>Nirmal kishore</t>
    <phoneticPr fontId="2" type="noConversion"/>
  </si>
  <si>
    <t>Missbigbobdog</t>
    <phoneticPr fontId="2" type="noConversion"/>
  </si>
  <si>
    <t>守望相助</t>
    <phoneticPr fontId="2" type="noConversion"/>
  </si>
  <si>
    <t>龍王</t>
    <phoneticPr fontId="2" type="noConversion"/>
  </si>
  <si>
    <t>nabuks only help</t>
  </si>
  <si>
    <t>家馬仔</t>
    <phoneticPr fontId="2" type="noConversion"/>
  </si>
  <si>
    <t>fantasy2999</t>
    <phoneticPr fontId="2" type="noConversion"/>
  </si>
  <si>
    <t>TANG OAO</t>
    <phoneticPr fontId="2" type="noConversion"/>
  </si>
  <si>
    <t>song ma</t>
    <phoneticPr fontId="2" type="noConversion"/>
  </si>
  <si>
    <t>VS 4</t>
    <phoneticPr fontId="2" type="noConversion"/>
  </si>
  <si>
    <t>VS 5</t>
    <phoneticPr fontId="2" type="noConversion"/>
  </si>
  <si>
    <t>Don. 4</t>
    <phoneticPr fontId="2" type="noConversion"/>
  </si>
  <si>
    <t>Don. 5</t>
    <phoneticPr fontId="2" type="noConversion"/>
  </si>
  <si>
    <t>DS 5</t>
    <phoneticPr fontId="2" type="noConversion"/>
  </si>
  <si>
    <t>0201</t>
    <phoneticPr fontId="2" type="noConversion"/>
  </si>
  <si>
    <t>0125</t>
    <phoneticPr fontId="2" type="noConversion"/>
  </si>
  <si>
    <t>0118</t>
    <phoneticPr fontId="2" type="noConversion"/>
  </si>
  <si>
    <t>0208</t>
    <phoneticPr fontId="2" type="noConversion"/>
  </si>
  <si>
    <t>0215</t>
    <phoneticPr fontId="2" type="noConversion"/>
  </si>
  <si>
    <t>Bobs Chillin</t>
    <phoneticPr fontId="2" type="noConversion"/>
  </si>
  <si>
    <t>肥羊不要跑</t>
    <phoneticPr fontId="2" type="noConversion"/>
  </si>
  <si>
    <t>ᴍɪɴɢᴊᴜɴღ</t>
    <phoneticPr fontId="2" type="noConversion"/>
  </si>
  <si>
    <t>Kim anh jojo</t>
    <phoneticPr fontId="2" type="noConversion"/>
  </si>
  <si>
    <t>帥氣指揮官</t>
    <phoneticPr fontId="2" type="noConversion"/>
  </si>
  <si>
    <t>Sunnmn</t>
    <phoneticPr fontId="2" type="noConversion"/>
  </si>
  <si>
    <t>DS 6</t>
    <phoneticPr fontId="2" type="noConversion"/>
  </si>
  <si>
    <t>DS 7</t>
    <phoneticPr fontId="2" type="noConversion"/>
  </si>
  <si>
    <t>A20</t>
    <phoneticPr fontId="2" type="noConversion"/>
  </si>
  <si>
    <t>A10</t>
    <phoneticPr fontId="2" type="noConversion"/>
  </si>
  <si>
    <t>B20</t>
    <phoneticPr fontId="2" type="noConversion"/>
  </si>
  <si>
    <t>B10</t>
    <phoneticPr fontId="2" type="noConversion"/>
  </si>
  <si>
    <t>RS 1</t>
    <phoneticPr fontId="2" type="noConversion"/>
  </si>
  <si>
    <t>RS 2</t>
    <phoneticPr fontId="2" type="noConversion"/>
  </si>
  <si>
    <t>RS 4</t>
    <phoneticPr fontId="2" type="noConversion"/>
  </si>
  <si>
    <t>RS 5</t>
    <phoneticPr fontId="2" type="noConversion"/>
  </si>
  <si>
    <t>RS 7</t>
    <phoneticPr fontId="2" type="noConversion"/>
  </si>
  <si>
    <t>RS 8</t>
    <phoneticPr fontId="2" type="noConversion"/>
  </si>
  <si>
    <t>Asst.</t>
    <phoneticPr fontId="2" type="noConversion"/>
  </si>
  <si>
    <t>RS W</t>
    <phoneticPr fontId="2" type="noConversion"/>
  </si>
  <si>
    <t>0204</t>
    <phoneticPr fontId="2" type="noConversion"/>
  </si>
  <si>
    <t>0207</t>
    <phoneticPr fontId="2" type="noConversion"/>
  </si>
  <si>
    <t>0214</t>
    <phoneticPr fontId="2" type="noConversion"/>
  </si>
  <si>
    <t>0218</t>
    <phoneticPr fontId="2" type="noConversion"/>
  </si>
  <si>
    <t>0225</t>
    <phoneticPr fontId="2" type="noConversion"/>
  </si>
  <si>
    <t>0228</t>
    <phoneticPr fontId="2" type="noConversion"/>
  </si>
  <si>
    <t>Change</t>
    <phoneticPr fontId="2" type="noConversion"/>
  </si>
  <si>
    <t>VS 6</t>
  </si>
  <si>
    <t>Don. 6</t>
  </si>
  <si>
    <t>VS Pts</t>
    <phoneticPr fontId="2" type="noConversion"/>
  </si>
  <si>
    <t>Don. Pts</t>
    <phoneticPr fontId="2" type="noConversion"/>
  </si>
  <si>
    <t>DS Pts</t>
    <phoneticPr fontId="2" type="noConversion"/>
  </si>
  <si>
    <t>RS Pts</t>
    <phoneticPr fontId="2" type="noConversion"/>
  </si>
  <si>
    <t>VS 7</t>
  </si>
  <si>
    <t>Don. 7</t>
  </si>
  <si>
    <t>总分</t>
    <phoneticPr fontId="2" type="noConversion"/>
  </si>
  <si>
    <t>人数</t>
    <phoneticPr fontId="2" type="noConversion"/>
  </si>
  <si>
    <t>平均分</t>
    <phoneticPr fontId="2" type="noConversion"/>
  </si>
  <si>
    <t>RS 1'</t>
    <phoneticPr fontId="2" type="noConversion"/>
  </si>
  <si>
    <t>RS 1''</t>
    <phoneticPr fontId="2" type="noConversion"/>
  </si>
  <si>
    <t>RS 2''</t>
    <phoneticPr fontId="2" type="noConversion"/>
  </si>
  <si>
    <t>RS 2'</t>
    <phoneticPr fontId="2" type="noConversion"/>
  </si>
  <si>
    <t>RS 4''</t>
    <phoneticPr fontId="2" type="noConversion"/>
  </si>
  <si>
    <t>RS 4'</t>
    <phoneticPr fontId="2" type="noConversion"/>
  </si>
  <si>
    <t>RS 5''</t>
    <phoneticPr fontId="2" type="noConversion"/>
  </si>
  <si>
    <t>RS 5'</t>
    <phoneticPr fontId="2" type="noConversion"/>
  </si>
  <si>
    <t>RS 7'</t>
    <phoneticPr fontId="2" type="noConversion"/>
  </si>
  <si>
    <t>RS 7''</t>
    <phoneticPr fontId="2" type="noConversion"/>
  </si>
  <si>
    <t>RS 8''</t>
    <phoneticPr fontId="2" type="noConversion"/>
  </si>
  <si>
    <t>RS 8'</t>
    <phoneticPr fontId="2" type="noConversion"/>
  </si>
  <si>
    <t>RS W'</t>
    <phoneticPr fontId="2" type="noConversion"/>
  </si>
  <si>
    <t>RS W''</t>
    <phoneticPr fontId="2" type="noConversion"/>
  </si>
  <si>
    <t>Siege1</t>
    <phoneticPr fontId="2" type="noConversion"/>
  </si>
  <si>
    <t>Siege1'</t>
    <phoneticPr fontId="2" type="noConversion"/>
  </si>
  <si>
    <t>Siege1''</t>
    <phoneticPr fontId="2" type="noConversion"/>
  </si>
  <si>
    <t>Siege</t>
    <phoneticPr fontId="2" type="noConversion"/>
  </si>
  <si>
    <t>Siege'</t>
    <phoneticPr fontId="2" type="noConversion"/>
  </si>
  <si>
    <t>Siege''</t>
    <phoneticPr fontId="2" type="noConversion"/>
  </si>
  <si>
    <t>Asst.1</t>
    <phoneticPr fontId="2" type="noConversion"/>
  </si>
  <si>
    <t>Asst.1''</t>
    <phoneticPr fontId="2" type="noConversion"/>
  </si>
  <si>
    <t>Asst.''</t>
    <phoneticPr fontId="2" type="noConversion"/>
  </si>
  <si>
    <t>5</t>
    <phoneticPr fontId="2" type="noConversion"/>
  </si>
  <si>
    <t>(M)</t>
    <phoneticPr fontId="2" type="noConversion"/>
  </si>
  <si>
    <t>(K)</t>
    <phoneticPr fontId="2" type="noConversion"/>
  </si>
  <si>
    <t>Total = VS + Don. + DS + RS + Siege + Asst.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</si>
</sst>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_ "/>
    <numFmt numFmtId="178" formatCode="0.0_);[Red]\(0.0\)"/>
    <numFmt numFmtId="179" formatCode="0.0_ ;[Red]\-0.0\ "/>
    <numFmt numFmtId="180" formatCode="0.0000_);[Red]\(0.0000\)"/>
    <numFmt numFmtId="181" formatCode="0.00_);[Red]\(0.00\)"/>
    <numFmt numFmtId="182" formatCode="0_);[Red]\(0\)"/>
  </numFmts>
  <fonts count="11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/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0" fillId="0" borderId="0" xfId="0" applyNumberFormat="1"/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2" fontId="0" fillId="0" borderId="0" xfId="0" applyNumberFormat="1"/>
    <xf numFmtId="178" fontId="1" fillId="0" borderId="1" xfId="0" applyNumberFormat="1" applyFont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182" fontId="1" fillId="0" borderId="4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179" fontId="10" fillId="0" borderId="0" xfId="0" applyNumberFormat="1" applyFont="1" applyAlignment="1">
      <alignment horizontal="center" vertical="top"/>
    </xf>
    <xf numFmtId="178" fontId="10" fillId="0" borderId="0" xfId="0" applyNumberFormat="1" applyFont="1" applyAlignment="1">
      <alignment horizontal="center" vertical="top"/>
    </xf>
    <xf numFmtId="178" fontId="9" fillId="0" borderId="0" xfId="0" applyNumberFormat="1" applyFont="1" applyAlignment="1">
      <alignment horizontal="center" vertical="top"/>
    </xf>
    <xf numFmtId="181" fontId="9" fillId="0" borderId="0" xfId="0" applyNumberFormat="1" applyFont="1" applyAlignment="1">
      <alignment horizontal="center" vertical="top"/>
    </xf>
    <xf numFmtId="180" fontId="9" fillId="0" borderId="0" xfId="0" applyNumberFormat="1" applyFont="1" applyAlignment="1">
      <alignment horizontal="center" vertical="top"/>
    </xf>
    <xf numFmtId="182" fontId="9" fillId="0" borderId="0" xfId="0" applyNumberFormat="1" applyFont="1" applyAlignment="1">
      <alignment horizontal="center" vertical="top"/>
    </xf>
    <xf numFmtId="182" fontId="1" fillId="0" borderId="2" xfId="0" applyNumberFormat="1" applyFont="1" applyBorder="1" applyAlignment="1">
      <alignment horizontal="center" vertical="center"/>
    </xf>
    <xf numFmtId="182" fontId="1" fillId="0" borderId="5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81" fontId="1" fillId="0" borderId="4" xfId="0" applyNumberFormat="1" applyFont="1" applyBorder="1" applyAlignment="1">
      <alignment horizontal="center" vertical="center"/>
    </xf>
    <xf numFmtId="180" fontId="1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182" fontId="8" fillId="0" borderId="7" xfId="0" applyNumberFormat="1" applyFont="1" applyBorder="1" applyAlignment="1">
      <alignment horizontal="center" vertical="center"/>
    </xf>
    <xf numFmtId="178" fontId="8" fillId="0" borderId="8" xfId="0" applyNumberFormat="1" applyFont="1" applyBorder="1" applyAlignment="1">
      <alignment horizontal="center" vertical="center"/>
    </xf>
    <xf numFmtId="181" fontId="8" fillId="0" borderId="7" xfId="0" applyNumberFormat="1" applyFont="1" applyBorder="1" applyAlignment="1">
      <alignment horizontal="center" vertical="center"/>
    </xf>
    <xf numFmtId="180" fontId="8" fillId="0" borderId="7" xfId="0" applyNumberFormat="1" applyFont="1" applyBorder="1" applyAlignment="1">
      <alignment horizontal="center" vertical="center"/>
    </xf>
    <xf numFmtId="182" fontId="7" fillId="0" borderId="8" xfId="0" applyNumberFormat="1" applyFont="1" applyBorder="1" applyAlignment="1">
      <alignment horizontal="center" vertical="center"/>
    </xf>
    <xf numFmtId="182" fontId="8" fillId="0" borderId="8" xfId="0" applyNumberFormat="1" applyFont="1" applyBorder="1" applyAlignment="1">
      <alignment horizontal="center" vertical="center"/>
    </xf>
  </cellXfs>
  <cellStyles count="1">
    <cellStyle name="常规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0" formatCode="0.0000_);[Red]\(0.00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1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9" formatCode="0.0_ ;[Red]\-0.0\ 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等线"/>
        <family val="2"/>
        <scheme val="none"/>
      </font>
      <numFmt numFmtId="177" formatCode="0.0_ 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177" formatCode="0.0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483F7-F2E9-42D4-9174-77E43B1083AC}" name="表2_34" displayName="表2_34" ref="C3:BJ111" totalsRowShown="0" headerRowDxfId="63" dataDxfId="61" headerRowBorderDxfId="62" tableBorderDxfId="60">
  <sortState xmlns:xlrd2="http://schemas.microsoft.com/office/spreadsheetml/2017/richdata2" ref="C7:BJ111">
    <sortCondition descending="1" ref="F3:F111"/>
  </sortState>
  <tableColumns count="60">
    <tableColumn id="17" xr3:uid="{6A06E39B-D8C3-429F-A05F-08FB3594B806}" name="Rank" dataDxfId="59"/>
    <tableColumn id="18" xr3:uid="{8C6A6C70-59C2-494F-AA68-CA4EF94052E3}" name="Change" dataDxfId="58">
      <calculatedColumnFormula>IF(C4&lt;B4,"▲"&amp;B4-C4,IF(C4&gt;B4,"▼"&amp;C4-B4,"—"))</calculatedColumnFormula>
    </tableColumn>
    <tableColumn id="4" xr3:uid="{17A06068-1746-4E99-9090-7ACC8C4E3FE0}" name="ID" dataDxfId="57"/>
    <tableColumn id="13" xr3:uid="{6A3C489E-725B-4700-8E30-7A940145EB3E}" name="Total" dataDxfId="56">
      <calculatedColumnFormula>IF(COUNTIF(H4:L4,"&gt;=0")=0,0,SUMIF(H4:L4,"&gt;=0",H4:L4)*3/COUNTIF(H4:L4,"&gt;=0"))
 +IF(COUNTIF(P4:T4,"&gt;=0")=0,0,SUMIF(P4:T4,"&gt;=0",P4:T4)*0.2*3/COUNTIF(P4:T4,"&gt;=0"))
 +SUMPRODUCT(IF(X4:Z4="",0,VALUE(MID(X4:Z4,2,99))))</calculatedColumnFormula>
    </tableColumn>
    <tableColumn id="33" xr3:uid="{8B5A960F-2BA1-415D-B8FF-2ABEA1930962}" name="VS Pts" dataDxfId="55">
      <calculatedColumnFormula>IF(COUNTIF(H4:O4,"&gt;0")=0,0,
(SUMIF(H4:O4,"&gt;0",H4:O4)*5/COUNTIF(H4:O4,"&gt;0"))*
IF(5-COUNTIF(H4:O4,"&gt;0")&lt;=2,1,
IF(5-COUNTIF(H4:O4,"&gt;0")=3,0.8,
IF(5-COUNTIF(H4:O4,"&gt;0")=4,0.6,0))))</calculatedColumnFormula>
    </tableColumn>
    <tableColumn id="1" xr3:uid="{79574B48-58CC-4460-8852-B4041DAE81FB}" name="VS 1 " dataDxfId="54"/>
    <tableColumn id="6" xr3:uid="{DD7D5BA3-362A-4905-82E2-9D36218EA3CC}" name="VS 2" dataDxfId="53"/>
    <tableColumn id="3" xr3:uid="{6C9654F4-7A8C-4E30-935E-3FFC36618A6D}" name="VS 3" dataDxfId="52"/>
    <tableColumn id="14" xr3:uid="{5654E104-75E9-42DB-B02B-CD85F1047F8B}" name="VS 4" dataDxfId="51"/>
    <tableColumn id="11" xr3:uid="{A9416FAF-6C60-4749-830D-CF9CE45FDEB7}" name="VS 5" dataDxfId="50"/>
    <tableColumn id="37" xr3:uid="{D5D02F72-8BC6-4EE7-8762-F3F76682EA0E}" name="VS 6" dataDxfId="49"/>
    <tableColumn id="38" xr3:uid="{BE69E98A-4CBA-4BB7-89A8-6A7F10BC74EC}" name="VS 7" dataDxfId="48"/>
    <tableColumn id="34" xr3:uid="{F12A7D92-F1AA-440A-BCA3-B890CEC31821}" name="Don. Pts" dataDxfId="47">
      <calculatedColumnFormula>0.2*IF(COUNTIF(P4:INDEX(P4:V4,$B$1),"&gt;0")=0,0,
(SUMIF(P4:INDEX(P4:V4,$B$1),"&gt;0",P4:INDEX(P4:V4,$B$1))*$B$1/COUNTIF(P4:INDEX(P4:V4,$B$1),"&gt;0"))*
IF($B$1-COUNTIF(P4:INDEX(P4:V4,$B$1),"&gt;0")&lt;=2,1,
IF($B$1-COUNTIF(P4:INDEX(P4:V4,$B$1),"&gt;0")=3,0.8,
IF($B$1-COUNTIF(P4:INDEX(P4:V4,$B$1),"&gt;0")=4,0.6,0))))</calculatedColumnFormula>
    </tableColumn>
    <tableColumn id="2" xr3:uid="{69B6E91F-160C-4133-904A-AF40A5E39C6D}" name="Don. 1" dataDxfId="46"/>
    <tableColumn id="7" xr3:uid="{817C40E3-E40E-4F57-8E2A-0DA1375C36A4}" name="Don. 2" dataDxfId="45"/>
    <tableColumn id="8" xr3:uid="{F10A3310-F711-4D22-8A79-0C278F02759E}" name="Don. 3" dataDxfId="44"/>
    <tableColumn id="16" xr3:uid="{DA077ABF-C5C6-4817-ABE4-DB0A01F3BB30}" name="Don. 4" dataDxfId="43"/>
    <tableColumn id="15" xr3:uid="{4CC9D5D6-AE54-4427-8C86-2C691F95699D}" name="Don. 5" dataDxfId="42"/>
    <tableColumn id="39" xr3:uid="{C804A683-2A2D-4DCB-BD4D-3F161FA3EE10}" name="Don. 6" dataDxfId="41"/>
    <tableColumn id="40" xr3:uid="{F0530406-C187-4731-AFA9-DF46853B45D1}" name="Don. 7" dataDxfId="40"/>
    <tableColumn id="35" xr3:uid="{88D5A743-CD6B-42FD-9B9F-664E0DB0AB7B}" name="DS Pts" dataDxfId="39">
      <calculatedColumnFormula>MIN(100,
IF($B$1&gt;=1,IFERROR(VALUE(SUBSTITUTE(SUBSTITUTE(TRIM(X4),"A",""),"B","")),0),0)+
IF($B$1&gt;=2,IFERROR(VALUE(SUBSTITUTE(SUBSTITUTE(TRIM(Y4),"A",""),"B","")),0),0)+
IF($B$1&gt;=3,IFERROR(VALUE(SUBSTITUTE(SUBSTITUTE(TRIM(Z4),"A",""),"B","")),0),0)+
IF($B$1&gt;=4,IFERROR(VALUE(SUBSTITUTE(SUBSTITUTE(TRIM(AA4),"A",""),"B","")),0),0)+
IF($B$1&gt;=5,IFERROR(VALUE(SUBSTITUTE(SUBSTITUTE(TRIM(AB4),"A",""),"B","")),0),0)+
IF($B$1&gt;=6,IFERROR(VALUE(SUBSTITUTE(SUBSTITUTE(TRIM(AC4),"A",""),"B","")),0),0)+
IF($B$1&gt;=7,IFERROR(VALUE(SUBSTITUTE(SUBSTITUTE(TRIM(AD4),"A",""),"B","")),0),0)
)</calculatedColumnFormula>
    </tableColumn>
    <tableColumn id="5" xr3:uid="{08477F0F-D100-41D5-96CF-E74959746F34}" name="DS 1" dataDxfId="38"/>
    <tableColumn id="9" xr3:uid="{E59EABCD-E058-4CDB-B8C0-3AE93CB743CB}" name="DS 2" dataDxfId="37"/>
    <tableColumn id="10" xr3:uid="{31E4A0FE-BC2C-4F43-BD0C-221F397BB1AC}" name="DS 3" dataDxfId="36"/>
    <tableColumn id="12" xr3:uid="{DF2BD9BE-A6DD-4F14-A385-0CA210F90207}" name="DS 4" dataDxfId="35"/>
    <tableColumn id="19" xr3:uid="{90F75517-A609-4A5F-9914-6D98847E22FC}" name="DS 5" dataDxfId="34"/>
    <tableColumn id="20" xr3:uid="{65EC333C-8371-4F93-A333-E59FF0104949}" name="DS 6" dataDxfId="33"/>
    <tableColumn id="21" xr3:uid="{BF345A47-2C50-44A8-B182-4A51275D1270}" name="DS 7" dataDxfId="32"/>
    <tableColumn id="36" xr3:uid="{450FFABF-74BB-4969-B1CE-774DE511076F}" name="RS Pts" dataDxfId="31">
      <calculatedColumnFormula>AH4+AK4+AN4+AQ4+AT4+AW4+AZ4</calculatedColumnFormula>
    </tableColumn>
    <tableColumn id="25" xr3:uid="{A5965051-87B5-41B0-99E2-49288DD3C6B5}" name="RS 1" dataDxfId="30"/>
    <tableColumn id="23" xr3:uid="{BA56BB0E-36C3-4840-9F0F-1B0E4D9BF5C9}" name="RS 1'" dataDxfId="29">
      <calculatedColumnFormula>SQRT(AF4)</calculatedColumnFormula>
    </tableColumn>
    <tableColumn id="42" xr3:uid="{A9C75C7B-093A-4CCA-9707-43FF01F78E68}" name="RS 1''" dataDxfId="28">
      <calculatedColumnFormula>IF(AG4&gt;0,AG4/AG$6*1000, 0)</calculatedColumnFormula>
    </tableColumn>
    <tableColumn id="24" xr3:uid="{A2317148-5743-4408-A6AA-FAD25A8FEF26}" name="RS 2" dataDxfId="27"/>
    <tableColumn id="41" xr3:uid="{B91F7837-1C63-46AA-BBBB-C794C856774B}" name="RS 2'" dataDxfId="26">
      <calculatedColumnFormula>SQRT(AI4)</calculatedColumnFormula>
    </tableColumn>
    <tableColumn id="43" xr3:uid="{564085A9-7D51-4BE8-8C4E-B2A224EDEB0B}" name="RS 2''" dataDxfId="25">
      <calculatedColumnFormula>IF(AJ4&gt;0,AJ4/AJ$6*1000, 0)</calculatedColumnFormula>
    </tableColumn>
    <tableColumn id="29" xr3:uid="{6F3C09FE-DD11-42CD-8679-83E89B230766}" name="RS 4" dataDxfId="24"/>
    <tableColumn id="56" xr3:uid="{4F492C15-C779-4C15-93C5-75FEAF1DD429}" name="RS 4'" dataDxfId="23">
      <calculatedColumnFormula>SQRT(AL4)</calculatedColumnFormula>
    </tableColumn>
    <tableColumn id="44" xr3:uid="{45E1042F-EFD8-4993-B970-C043154A16F1}" name="RS 4''" dataDxfId="22">
      <calculatedColumnFormula>IF(AM4&gt;0,AM4/AM$6*1000, 0)</calculatedColumnFormula>
    </tableColumn>
    <tableColumn id="28" xr3:uid="{05D9E44F-E886-4C16-B1CF-EC95AC449BE9}" name="RS 5" dataDxfId="21"/>
    <tableColumn id="59" xr3:uid="{A0AA4B46-05F2-41E1-9030-DBFE4377D6A5}" name="RS 5'" dataDxfId="20"/>
    <tableColumn id="45" xr3:uid="{B710BA02-F8BF-4C8B-90BC-3345628489EE}" name="RS 5''" dataDxfId="19"/>
    <tableColumn id="26" xr3:uid="{A76790A4-4468-4835-866B-B4D65A67F51C}" name="RS 7" dataDxfId="18"/>
    <tableColumn id="57" xr3:uid="{386027D6-70D6-4363-B3A1-D323460ED417}" name="RS 7'" dataDxfId="17"/>
    <tableColumn id="47" xr3:uid="{BAFF13D6-138C-47EC-B019-5744B1E89F75}" name="RS 7''" dataDxfId="16"/>
    <tableColumn id="30" xr3:uid="{03E000CA-925F-4572-B7A1-7AC72D4C8B15}" name="RS 8" dataDxfId="15"/>
    <tableColumn id="58" xr3:uid="{33601B2E-F090-491A-8DB9-8A9F762BCDA7}" name="RS 8'" dataDxfId="14"/>
    <tableColumn id="48" xr3:uid="{E0334814-3BB8-4571-BF76-FF28669BE1B5}" name="RS 8''" dataDxfId="13"/>
    <tableColumn id="31" xr3:uid="{B053329F-CDA1-45A0-BEC0-67CFB450C924}" name="RS W" dataDxfId="12"/>
    <tableColumn id="61" xr3:uid="{0CA3E2DD-2ED9-44A3-B4C0-4FBD0C13CE85}" name="RS W'" dataDxfId="11">
      <calculatedColumnFormula>SQRT(AX4)</calculatedColumnFormula>
    </tableColumn>
    <tableColumn id="60" xr3:uid="{3934AE8F-557C-4CD3-9D85-06F09AE93940}" name="RS W''" dataDxfId="10">
      <calculatedColumnFormula>IF(AY4&gt;0, AY4/AY$6*1000, 0)</calculatedColumnFormula>
    </tableColumn>
    <tableColumn id="32" xr3:uid="{14FF6526-A55E-4620-8BC5-8DC30D357B00}" name="Siege1" dataDxfId="9"/>
    <tableColumn id="62" xr3:uid="{F5267921-3A4A-4076-BCCA-FC5D0B5DA6AB}" name="Siege1'" dataDxfId="8">
      <calculatedColumnFormula>SQRT(BA4)</calculatedColumnFormula>
    </tableColumn>
    <tableColumn id="52" xr3:uid="{5A165D45-C504-4BA9-934E-F28810DA52D3}" name="Siege1''" dataDxfId="7">
      <calculatedColumnFormula>IF(AF4&gt;0, SQRT(A71)/BB3*1000, 0)</calculatedColumnFormula>
    </tableColumn>
    <tableColumn id="51" xr3:uid="{4BDFFECD-4A0A-4D12-8001-57678CB67171}" name="Siege" dataDxfId="6"/>
    <tableColumn id="63" xr3:uid="{6AEF9508-E80C-477D-81A5-3D66C61CFD08}" name="Siege'" dataDxfId="5"/>
    <tableColumn id="50" xr3:uid="{E79F3E05-C783-4C0C-972C-88032AF3B248}" name="Siege''" dataDxfId="4"/>
    <tableColumn id="22" xr3:uid="{676FFCEB-A505-4DD1-A0AA-1FD5C2ADD8E4}" name="Asst.1" dataDxfId="3"/>
    <tableColumn id="64" xr3:uid="{60707C04-C2AD-4CD3-86E7-7C85389C55C3}" name="Asst.1''" dataDxfId="2">
      <calculatedColumnFormula>IF(BG4&gt;0, BG4/BG$6*2000, 0)</calculatedColumnFormula>
    </tableColumn>
    <tableColumn id="49" xr3:uid="{EA4ABEA4-511A-48D3-AE71-60CA6F8D7915}" name="Asst." dataDxfId="1"/>
    <tableColumn id="53" xr3:uid="{E3EAA3EB-9AC4-4C5C-99CC-2ECF086EA27C}" name="Asst.''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5510-605A-4415-BB14-C701B4750A47}">
  <sheetPr>
    <pageSetUpPr fitToPage="1"/>
  </sheetPr>
  <dimension ref="A1:CG114"/>
  <sheetViews>
    <sheetView showGridLines="0" tabSelected="1" zoomScaleNormal="100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C3" sqref="C3"/>
    </sheetView>
  </sheetViews>
  <sheetFormatPr defaultColWidth="9" defaultRowHeight="0" customHeight="1" zeroHeight="1" x14ac:dyDescent="0.25"/>
  <cols>
    <col min="1" max="1" width="5.6640625" style="1" customWidth="1"/>
    <col min="2" max="2" width="9" hidden="1" customWidth="1"/>
    <col min="3" max="4" width="7.77734375" customWidth="1"/>
    <col min="5" max="5" width="20.6640625" style="1" customWidth="1"/>
    <col min="6" max="6" width="10.77734375" style="14" customWidth="1"/>
    <col min="7" max="7" width="10.77734375" style="11" customWidth="1"/>
    <col min="8" max="9" width="10.77734375" style="2" hidden="1" customWidth="1"/>
    <col min="10" max="10" width="10.77734375" style="3" hidden="1" customWidth="1"/>
    <col min="11" max="14" width="10.77734375" style="2" hidden="1" customWidth="1"/>
    <col min="15" max="15" width="10.77734375" style="12" customWidth="1"/>
    <col min="16" max="16" width="10.77734375" hidden="1" customWidth="1"/>
    <col min="17" max="22" width="10.77734375" style="3" hidden="1" customWidth="1"/>
    <col min="23" max="23" width="10.77734375" style="3" customWidth="1"/>
    <col min="24" max="24" width="10.77734375" hidden="1" customWidth="1"/>
    <col min="25" max="30" width="10.77734375" style="3" hidden="1" customWidth="1"/>
    <col min="31" max="31" width="10.77734375" style="10" customWidth="1"/>
    <col min="32" max="33" width="10.77734375" style="10" hidden="1" customWidth="1"/>
    <col min="34" max="34" width="10.77734375" style="10" customWidth="1"/>
    <col min="35" max="36" width="10.77734375" style="11" hidden="1" customWidth="1"/>
    <col min="37" max="37" width="10.77734375" style="11" customWidth="1"/>
    <col min="38" max="39" width="10.77734375" style="10" hidden="1" customWidth="1"/>
    <col min="40" max="40" width="10.77734375" style="10" customWidth="1"/>
    <col min="41" max="49" width="10.77734375" style="10" hidden="1" customWidth="1"/>
    <col min="50" max="50" width="10.77734375" style="17" hidden="1" customWidth="1"/>
    <col min="51" max="51" width="10.77734375" style="10" hidden="1" customWidth="1"/>
    <col min="52" max="52" width="10.77734375" style="10" customWidth="1"/>
    <col min="53" max="53" width="10.77734375" style="16" hidden="1" customWidth="1"/>
    <col min="54" max="54" width="10.77734375" style="15" hidden="1" customWidth="1"/>
    <col min="55" max="55" width="10.77734375" style="10" customWidth="1"/>
    <col min="56" max="58" width="10.77734375" style="10" hidden="1" customWidth="1"/>
    <col min="59" max="59" width="10.77734375" style="18" hidden="1" customWidth="1"/>
    <col min="60" max="60" width="10.77734375" style="18" customWidth="1"/>
    <col min="61" max="61" width="10.77734375" style="17" hidden="1" customWidth="1"/>
    <col min="62" max="62" width="10.77734375" style="18" hidden="1" customWidth="1"/>
    <col min="66" max="67" width="10.77734375" style="3" customWidth="1"/>
    <col min="72" max="72" width="10.6640625" style="5" customWidth="1"/>
    <col min="73" max="73" width="10.6640625" style="3" customWidth="1"/>
    <col min="74" max="77" width="9" style="5"/>
    <col min="78" max="80" width="10.6640625" style="3" customWidth="1"/>
    <col min="81" max="84" width="9" style="5"/>
    <col min="85" max="85" width="10.6640625" style="3" customWidth="1"/>
    <col min="86" max="88" width="10.6640625" style="1" customWidth="1"/>
    <col min="89" max="106" width="9" style="1" customWidth="1"/>
    <col min="107" max="16384" width="9" style="1"/>
  </cols>
  <sheetData>
    <row r="1" spans="2:85" s="8" customFormat="1" ht="20.100000000000001" customHeight="1" x14ac:dyDescent="0.25">
      <c r="B1" s="8" t="s">
        <v>185</v>
      </c>
      <c r="E1" s="9"/>
      <c r="F1" s="13"/>
      <c r="G1" s="12"/>
      <c r="H1" s="8" t="s">
        <v>121</v>
      </c>
      <c r="I1" s="8" t="s">
        <v>120</v>
      </c>
      <c r="J1" s="8" t="s">
        <v>119</v>
      </c>
      <c r="K1" s="8" t="s">
        <v>122</v>
      </c>
      <c r="L1" s="8" t="s">
        <v>123</v>
      </c>
      <c r="O1" s="10"/>
      <c r="AE1" s="10"/>
      <c r="AF1" s="10" t="s">
        <v>144</v>
      </c>
      <c r="AG1" s="10"/>
      <c r="AH1" s="10"/>
      <c r="AI1" s="10" t="s">
        <v>145</v>
      </c>
      <c r="AJ1" s="10"/>
      <c r="AK1" s="10"/>
      <c r="AL1" s="10" t="s">
        <v>146</v>
      </c>
      <c r="AM1" s="10"/>
      <c r="AN1" s="10"/>
      <c r="AO1" s="10" t="s">
        <v>147</v>
      </c>
      <c r="AP1" s="10"/>
      <c r="AQ1" s="10"/>
      <c r="AR1" s="10" t="s">
        <v>148</v>
      </c>
      <c r="AS1" s="10"/>
      <c r="AT1" s="10"/>
      <c r="AU1" s="10" t="s">
        <v>149</v>
      </c>
      <c r="AV1" s="10"/>
      <c r="AW1" s="10"/>
      <c r="AX1" s="17"/>
      <c r="AY1" s="10"/>
      <c r="AZ1" s="10"/>
      <c r="BA1" s="16"/>
      <c r="BB1" s="15"/>
      <c r="BC1" s="10"/>
      <c r="BD1" s="10"/>
      <c r="BE1" s="10"/>
      <c r="BF1" s="10"/>
      <c r="BG1" s="17"/>
      <c r="BH1" s="17"/>
      <c r="BI1" s="17"/>
      <c r="BJ1" s="17"/>
    </row>
    <row r="2" spans="2:85" s="32" customFormat="1" ht="30" customHeight="1" thickBot="1" x14ac:dyDescent="0.3">
      <c r="E2" s="33"/>
      <c r="F2" s="34" t="s">
        <v>188</v>
      </c>
      <c r="G2" s="35"/>
      <c r="H2" s="32" t="s">
        <v>186</v>
      </c>
      <c r="I2" s="32" t="s">
        <v>186</v>
      </c>
      <c r="J2" s="32" t="s">
        <v>186</v>
      </c>
      <c r="K2" s="32" t="s">
        <v>186</v>
      </c>
      <c r="L2" s="32" t="s">
        <v>186</v>
      </c>
      <c r="M2" s="32" t="s">
        <v>186</v>
      </c>
      <c r="N2" s="32" t="s">
        <v>186</v>
      </c>
      <c r="O2" s="36"/>
      <c r="P2" s="32" t="s">
        <v>187</v>
      </c>
      <c r="Q2" s="32" t="s">
        <v>187</v>
      </c>
      <c r="R2" s="32" t="s">
        <v>187</v>
      </c>
      <c r="S2" s="32" t="s">
        <v>187</v>
      </c>
      <c r="T2" s="32" t="s">
        <v>187</v>
      </c>
      <c r="U2" s="32" t="s">
        <v>187</v>
      </c>
      <c r="V2" s="32" t="s">
        <v>187</v>
      </c>
      <c r="AE2" s="36"/>
      <c r="AF2" s="36" t="s">
        <v>186</v>
      </c>
      <c r="AG2" s="36"/>
      <c r="AH2" s="36"/>
      <c r="AI2" s="36" t="s">
        <v>186</v>
      </c>
      <c r="AJ2" s="36"/>
      <c r="AK2" s="36"/>
      <c r="AL2" s="36" t="s">
        <v>186</v>
      </c>
      <c r="AM2" s="36"/>
      <c r="AN2" s="36"/>
      <c r="AO2" s="36" t="s">
        <v>186</v>
      </c>
      <c r="AP2" s="36"/>
      <c r="AQ2" s="36"/>
      <c r="AR2" s="36" t="s">
        <v>186</v>
      </c>
      <c r="AS2" s="36"/>
      <c r="AT2" s="36"/>
      <c r="AU2" s="36" t="s">
        <v>186</v>
      </c>
      <c r="AV2" s="36"/>
      <c r="AW2" s="36"/>
      <c r="AX2" s="36" t="s">
        <v>187</v>
      </c>
      <c r="AY2" s="36"/>
      <c r="AZ2" s="36"/>
      <c r="BA2" s="37" t="s">
        <v>186</v>
      </c>
      <c r="BB2" s="38"/>
      <c r="BC2" s="36"/>
      <c r="BD2" s="36"/>
      <c r="BE2" s="36"/>
      <c r="BF2" s="36"/>
      <c r="BG2" s="39" t="s">
        <v>186</v>
      </c>
      <c r="BH2" s="39"/>
      <c r="BI2" s="39"/>
      <c r="BJ2" s="39"/>
    </row>
    <row r="3" spans="2:85" s="6" customFormat="1" ht="20.100000000000001" customHeight="1" thickBot="1" x14ac:dyDescent="0.3">
      <c r="B3" s="6" t="s">
        <v>0</v>
      </c>
      <c r="C3" s="46" t="s">
        <v>0</v>
      </c>
      <c r="D3" s="47" t="s">
        <v>150</v>
      </c>
      <c r="E3" s="48" t="s">
        <v>1</v>
      </c>
      <c r="F3" s="49" t="s">
        <v>2</v>
      </c>
      <c r="G3" s="50" t="s">
        <v>153</v>
      </c>
      <c r="H3" s="51" t="s">
        <v>3</v>
      </c>
      <c r="I3" s="51" t="s">
        <v>4</v>
      </c>
      <c r="J3" s="51" t="s">
        <v>5</v>
      </c>
      <c r="K3" s="51" t="s">
        <v>114</v>
      </c>
      <c r="L3" s="51" t="s">
        <v>115</v>
      </c>
      <c r="M3" s="51" t="s">
        <v>151</v>
      </c>
      <c r="N3" s="51" t="s">
        <v>157</v>
      </c>
      <c r="O3" s="50" t="s">
        <v>154</v>
      </c>
      <c r="P3" s="52" t="s">
        <v>6</v>
      </c>
      <c r="Q3" s="52" t="s">
        <v>7</v>
      </c>
      <c r="R3" s="52" t="s">
        <v>8</v>
      </c>
      <c r="S3" s="52" t="s">
        <v>116</v>
      </c>
      <c r="T3" s="52" t="s">
        <v>117</v>
      </c>
      <c r="U3" s="52" t="s">
        <v>152</v>
      </c>
      <c r="V3" s="52" t="s">
        <v>158</v>
      </c>
      <c r="W3" s="53" t="s">
        <v>155</v>
      </c>
      <c r="X3" s="52" t="s">
        <v>9</v>
      </c>
      <c r="Y3" s="52" t="s">
        <v>10</v>
      </c>
      <c r="Z3" s="52" t="s">
        <v>11</v>
      </c>
      <c r="AA3" s="52" t="s">
        <v>12</v>
      </c>
      <c r="AB3" s="52" t="s">
        <v>118</v>
      </c>
      <c r="AC3" s="52" t="s">
        <v>130</v>
      </c>
      <c r="AD3" s="52" t="s">
        <v>131</v>
      </c>
      <c r="AE3" s="54" t="s">
        <v>156</v>
      </c>
      <c r="AF3" s="55" t="s">
        <v>136</v>
      </c>
      <c r="AG3" s="55" t="s">
        <v>162</v>
      </c>
      <c r="AH3" s="55" t="s">
        <v>163</v>
      </c>
      <c r="AI3" s="55" t="s">
        <v>137</v>
      </c>
      <c r="AJ3" s="55" t="s">
        <v>165</v>
      </c>
      <c r="AK3" s="55" t="s">
        <v>164</v>
      </c>
      <c r="AL3" s="55" t="s">
        <v>138</v>
      </c>
      <c r="AM3" s="55" t="s">
        <v>167</v>
      </c>
      <c r="AN3" s="55" t="s">
        <v>166</v>
      </c>
      <c r="AO3" s="55" t="s">
        <v>139</v>
      </c>
      <c r="AP3" s="55" t="s">
        <v>169</v>
      </c>
      <c r="AQ3" s="55" t="s">
        <v>168</v>
      </c>
      <c r="AR3" s="55" t="s">
        <v>140</v>
      </c>
      <c r="AS3" s="55" t="s">
        <v>170</v>
      </c>
      <c r="AT3" s="55" t="s">
        <v>171</v>
      </c>
      <c r="AU3" s="55" t="s">
        <v>141</v>
      </c>
      <c r="AV3" s="55" t="s">
        <v>173</v>
      </c>
      <c r="AW3" s="55" t="s">
        <v>172</v>
      </c>
      <c r="AX3" s="56" t="s">
        <v>143</v>
      </c>
      <c r="AY3" s="55" t="s">
        <v>174</v>
      </c>
      <c r="AZ3" s="57" t="s">
        <v>175</v>
      </c>
      <c r="BA3" s="58" t="s">
        <v>176</v>
      </c>
      <c r="BB3" s="59" t="s">
        <v>177</v>
      </c>
      <c r="BC3" s="50" t="s">
        <v>178</v>
      </c>
      <c r="BD3" s="55" t="s">
        <v>179</v>
      </c>
      <c r="BE3" s="55" t="s">
        <v>180</v>
      </c>
      <c r="BF3" s="55" t="s">
        <v>181</v>
      </c>
      <c r="BG3" s="56" t="s">
        <v>182</v>
      </c>
      <c r="BH3" s="60" t="s">
        <v>183</v>
      </c>
      <c r="BI3" s="56" t="s">
        <v>142</v>
      </c>
      <c r="BJ3" s="61" t="s">
        <v>184</v>
      </c>
      <c r="BK3" s="7"/>
    </row>
    <row r="4" spans="2:85" s="6" customFormat="1" ht="20.100000000000001" hidden="1" customHeight="1" x14ac:dyDescent="0.25">
      <c r="B4" s="1">
        <v>-3</v>
      </c>
      <c r="C4" s="26">
        <v>-3</v>
      </c>
      <c r="D4" s="1" t="str">
        <f t="shared" ref="D4:D35" si="0">IF(C4&lt;B4,"▲"&amp;B4-C4,IF(C4&gt;B4,"▼"&amp;C4-B4,"—"))</f>
        <v>—</v>
      </c>
      <c r="E4" s="2" t="s">
        <v>161</v>
      </c>
      <c r="F4" s="27">
        <v>9999</v>
      </c>
      <c r="G4" s="3">
        <f>IFERROR(G6/G5/$B$1,0)</f>
        <v>47.559427609427608</v>
      </c>
      <c r="H4" s="3">
        <f>IFERROR(H6/H5,0)</f>
        <v>45.426966292134829</v>
      </c>
      <c r="I4" s="3">
        <f>IFERROR(I6/I5,0)</f>
        <v>50.133333333333333</v>
      </c>
      <c r="J4" s="3">
        <f>IFERROR(J6/J5,0)</f>
        <v>49.347826086956523</v>
      </c>
      <c r="K4" s="3">
        <f>IFERROR(K6/K5,0)</f>
        <v>58.932584269662918</v>
      </c>
      <c r="L4" s="3">
        <f>IFERROR(L6/L5,0)</f>
        <v>44.054347826086953</v>
      </c>
      <c r="M4" s="3"/>
      <c r="N4" s="3"/>
      <c r="O4" s="3">
        <f>IFERROR(5*O6/O5/$B$1,0)</f>
        <v>38.231500000000004</v>
      </c>
      <c r="P4" s="3">
        <f>IFERROR(P6/P5,0)</f>
        <v>44.068965517241381</v>
      </c>
      <c r="Q4" s="3">
        <f>IFERROR(Q6/Q5,0)</f>
        <v>36.153846153846153</v>
      </c>
      <c r="R4" s="3">
        <f>IFERROR(R6/R5,0)</f>
        <v>41.573033707865171</v>
      </c>
      <c r="S4" s="3">
        <f>IFERROR(S6/S5,0)</f>
        <v>40.53846153846154</v>
      </c>
      <c r="T4" s="3">
        <f>IFERROR(T6/T5,0)</f>
        <v>39.706521739130437</v>
      </c>
      <c r="U4" s="3"/>
      <c r="V4" s="3"/>
      <c r="W4" s="3">
        <f>IFERROR(W6/W5,0)</f>
        <v>69.302325581395351</v>
      </c>
      <c r="X4" s="3"/>
      <c r="Y4" s="3"/>
      <c r="Z4" s="3"/>
      <c r="AA4" s="3"/>
      <c r="AB4" s="3"/>
      <c r="AC4" s="3"/>
      <c r="AD4" s="3"/>
      <c r="AE4" s="19">
        <f t="shared" ref="AE4:AN4" si="1">IFERROR(AE6/AE5,0)</f>
        <v>76.923076923076948</v>
      </c>
      <c r="AF4" s="10">
        <f t="shared" si="1"/>
        <v>3.3875000000000011</v>
      </c>
      <c r="AG4" s="10">
        <f t="shared" si="1"/>
        <v>1.7308135017592126</v>
      </c>
      <c r="AH4" s="10">
        <f t="shared" si="1"/>
        <v>41.666666666666679</v>
      </c>
      <c r="AI4" s="10">
        <f t="shared" si="1"/>
        <v>1.2027027027027029</v>
      </c>
      <c r="AJ4" s="10">
        <f t="shared" si="1"/>
        <v>0.9575081347343839</v>
      </c>
      <c r="AK4" s="10">
        <f t="shared" si="1"/>
        <v>27.027027027027046</v>
      </c>
      <c r="AL4" s="10">
        <f t="shared" si="1"/>
        <v>2.0800000000000005</v>
      </c>
      <c r="AM4" s="10">
        <f t="shared" si="1"/>
        <v>1.2350518438109814</v>
      </c>
      <c r="AN4" s="10">
        <f t="shared" si="1"/>
        <v>50.000000000000014</v>
      </c>
      <c r="AO4" s="10"/>
      <c r="AP4" s="10"/>
      <c r="AQ4" s="10"/>
      <c r="AR4" s="10"/>
      <c r="AS4" s="10"/>
      <c r="AT4" s="10"/>
      <c r="AU4" s="10"/>
      <c r="AV4" s="10"/>
      <c r="AW4" s="10"/>
      <c r="AX4" s="16">
        <f t="shared" ref="AX4:BC4" si="2">IFERROR(AX6/AX5,0)</f>
        <v>89.081081081081081</v>
      </c>
      <c r="AY4" s="16">
        <f t="shared" si="2"/>
        <v>7.7101310196025521</v>
      </c>
      <c r="AZ4" s="20">
        <f t="shared" si="2"/>
        <v>27.027027027027017</v>
      </c>
      <c r="BA4" s="16">
        <f t="shared" si="2"/>
        <v>0.2492307692307692</v>
      </c>
      <c r="BB4" s="15">
        <f t="shared" si="2"/>
        <v>0.41027481924517339</v>
      </c>
      <c r="BC4" s="10">
        <f t="shared" si="2"/>
        <v>109.89010989010971</v>
      </c>
      <c r="BD4" s="10"/>
      <c r="BE4" s="10"/>
      <c r="BF4" s="10"/>
      <c r="BG4" s="17">
        <f>IFERROR(BG6/BG5,0)</f>
        <v>6.8461538461538458</v>
      </c>
      <c r="BH4" s="40">
        <f>IFERROR(BH6/BH5,0)</f>
        <v>25.64102564102566</v>
      </c>
      <c r="BI4" s="17"/>
      <c r="BJ4" s="17"/>
      <c r="BK4" s="7"/>
    </row>
    <row r="5" spans="2:85" s="6" customFormat="1" ht="20.100000000000001" hidden="1" customHeight="1" x14ac:dyDescent="0.25">
      <c r="B5" s="1">
        <v>-2</v>
      </c>
      <c r="C5" s="26">
        <v>-2</v>
      </c>
      <c r="D5" s="1" t="str">
        <f t="shared" si="0"/>
        <v>—</v>
      </c>
      <c r="E5" s="2" t="s">
        <v>160</v>
      </c>
      <c r="F5" s="27">
        <v>9998</v>
      </c>
      <c r="G5" s="3">
        <f t="shared" ref="G5:L5" si="3">COUNTIF(G7:G127,"&gt;0")</f>
        <v>99</v>
      </c>
      <c r="H5" s="3">
        <f t="shared" si="3"/>
        <v>89</v>
      </c>
      <c r="I5" s="3">
        <f t="shared" si="3"/>
        <v>90</v>
      </c>
      <c r="J5" s="3">
        <f t="shared" si="3"/>
        <v>92</v>
      </c>
      <c r="K5" s="3">
        <f t="shared" si="3"/>
        <v>89</v>
      </c>
      <c r="L5" s="3">
        <f t="shared" si="3"/>
        <v>92</v>
      </c>
      <c r="M5" s="3"/>
      <c r="N5" s="3"/>
      <c r="O5" s="3">
        <f t="shared" ref="O5:T5" si="4">COUNTIF(O7:O127,"&gt;0")</f>
        <v>100</v>
      </c>
      <c r="P5" s="3">
        <f t="shared" si="4"/>
        <v>87</v>
      </c>
      <c r="Q5" s="3">
        <f t="shared" si="4"/>
        <v>91</v>
      </c>
      <c r="R5" s="3">
        <f t="shared" si="4"/>
        <v>89</v>
      </c>
      <c r="S5" s="3">
        <f t="shared" si="4"/>
        <v>91</v>
      </c>
      <c r="T5" s="3">
        <f t="shared" si="4"/>
        <v>92</v>
      </c>
      <c r="U5" s="3"/>
      <c r="V5" s="3"/>
      <c r="W5" s="3">
        <f>COUNTIF(W7:W127,"&gt;0")</f>
        <v>43</v>
      </c>
      <c r="X5" s="3"/>
      <c r="Y5" s="3"/>
      <c r="Z5" s="3"/>
      <c r="AA5" s="3"/>
      <c r="AB5" s="3"/>
      <c r="AC5" s="3"/>
      <c r="AD5" s="3"/>
      <c r="AE5" s="19">
        <f t="shared" ref="AE5:AN5" si="5">COUNTIF(AE7:AE127,"&gt;0")</f>
        <v>52</v>
      </c>
      <c r="AF5" s="10">
        <f t="shared" si="5"/>
        <v>24</v>
      </c>
      <c r="AG5" s="10">
        <f t="shared" si="5"/>
        <v>24</v>
      </c>
      <c r="AH5" s="10">
        <f t="shared" si="5"/>
        <v>24</v>
      </c>
      <c r="AI5" s="10">
        <f t="shared" si="5"/>
        <v>37</v>
      </c>
      <c r="AJ5" s="10">
        <f t="shared" si="5"/>
        <v>37</v>
      </c>
      <c r="AK5" s="10">
        <f t="shared" si="5"/>
        <v>37</v>
      </c>
      <c r="AL5" s="10">
        <f t="shared" si="5"/>
        <v>20</v>
      </c>
      <c r="AM5" s="10">
        <f t="shared" si="5"/>
        <v>20</v>
      </c>
      <c r="AN5" s="10">
        <f t="shared" si="5"/>
        <v>20</v>
      </c>
      <c r="AO5" s="10"/>
      <c r="AP5" s="10"/>
      <c r="AQ5" s="10"/>
      <c r="AR5" s="10"/>
      <c r="AS5" s="10"/>
      <c r="AT5" s="10"/>
      <c r="AU5" s="10"/>
      <c r="AV5" s="10"/>
      <c r="AW5" s="10"/>
      <c r="AX5" s="16">
        <f t="shared" ref="AX5:BC5" si="6">COUNTIF(AX7:AX127,"&gt;0")</f>
        <v>37</v>
      </c>
      <c r="AY5" s="16">
        <f t="shared" si="6"/>
        <v>37</v>
      </c>
      <c r="AZ5" s="20">
        <f t="shared" si="6"/>
        <v>37</v>
      </c>
      <c r="BA5" s="16">
        <f t="shared" si="6"/>
        <v>91</v>
      </c>
      <c r="BB5" s="15">
        <f t="shared" si="6"/>
        <v>91</v>
      </c>
      <c r="BC5" s="10">
        <f t="shared" si="6"/>
        <v>91</v>
      </c>
      <c r="BD5" s="10"/>
      <c r="BE5" s="10"/>
      <c r="BF5" s="10"/>
      <c r="BG5" s="17">
        <f>COUNTIF(BG7:BG127,"&gt;0")</f>
        <v>78</v>
      </c>
      <c r="BH5" s="40">
        <f>COUNTIF(BH7:BH127,"&gt;0")</f>
        <v>78</v>
      </c>
      <c r="BI5" s="17"/>
      <c r="BJ5" s="17"/>
      <c r="BK5" s="7"/>
    </row>
    <row r="6" spans="2:85" s="6" customFormat="1" ht="20.100000000000001" hidden="1" customHeight="1" x14ac:dyDescent="0.25">
      <c r="B6" s="1">
        <v>-1</v>
      </c>
      <c r="C6" s="26">
        <v>-1</v>
      </c>
      <c r="D6" s="1" t="str">
        <f t="shared" si="0"/>
        <v>—</v>
      </c>
      <c r="E6" s="2" t="s">
        <v>159</v>
      </c>
      <c r="F6" s="27">
        <v>9997</v>
      </c>
      <c r="G6" s="3">
        <f t="shared" ref="G6:L6" si="7">SUMIF(G7:G127,"&gt;0")</f>
        <v>23541.916666666668</v>
      </c>
      <c r="H6" s="3">
        <f t="shared" si="7"/>
        <v>4043</v>
      </c>
      <c r="I6" s="3">
        <f t="shared" si="7"/>
        <v>4512</v>
      </c>
      <c r="J6" s="3">
        <f t="shared" si="7"/>
        <v>4540</v>
      </c>
      <c r="K6" s="3">
        <f t="shared" si="7"/>
        <v>5245</v>
      </c>
      <c r="L6" s="3">
        <f t="shared" si="7"/>
        <v>4053</v>
      </c>
      <c r="M6" s="3"/>
      <c r="N6" s="3"/>
      <c r="O6" s="3">
        <f t="shared" ref="O6:T6" si="8">SUMIF(O7:O127,"&gt;0")</f>
        <v>3823.1500000000005</v>
      </c>
      <c r="P6" s="3">
        <f t="shared" si="8"/>
        <v>3834</v>
      </c>
      <c r="Q6" s="3">
        <f t="shared" si="8"/>
        <v>3290</v>
      </c>
      <c r="R6" s="3">
        <f t="shared" si="8"/>
        <v>3700</v>
      </c>
      <c r="S6" s="3">
        <f t="shared" si="8"/>
        <v>3689</v>
      </c>
      <c r="T6" s="3">
        <f t="shared" si="8"/>
        <v>3653</v>
      </c>
      <c r="U6" s="3"/>
      <c r="V6" s="3"/>
      <c r="W6" s="3">
        <f>SUMIF(W7:W127,"&gt;0")</f>
        <v>2980</v>
      </c>
      <c r="X6" s="3"/>
      <c r="Y6" s="3"/>
      <c r="Z6" s="3"/>
      <c r="AA6" s="3"/>
      <c r="AB6" s="3"/>
      <c r="AC6" s="3"/>
      <c r="AD6" s="3"/>
      <c r="AE6" s="19">
        <f t="shared" ref="AE6:AN6" si="9">SUMIF(AE7:AE127,"&gt;0")</f>
        <v>4000.0000000000014</v>
      </c>
      <c r="AF6" s="10">
        <f t="shared" si="9"/>
        <v>81.300000000000026</v>
      </c>
      <c r="AG6" s="10">
        <f t="shared" si="9"/>
        <v>41.539524042221103</v>
      </c>
      <c r="AH6" s="10">
        <f t="shared" si="9"/>
        <v>1000.0000000000002</v>
      </c>
      <c r="AI6" s="10">
        <f t="shared" si="9"/>
        <v>44.500000000000007</v>
      </c>
      <c r="AJ6" s="10">
        <f t="shared" si="9"/>
        <v>35.427800985172205</v>
      </c>
      <c r="AK6" s="10">
        <f t="shared" si="9"/>
        <v>1000.0000000000007</v>
      </c>
      <c r="AL6" s="10">
        <f t="shared" si="9"/>
        <v>41.600000000000009</v>
      </c>
      <c r="AM6" s="10">
        <f t="shared" si="9"/>
        <v>24.701036876219629</v>
      </c>
      <c r="AN6" s="10">
        <f t="shared" si="9"/>
        <v>1000.0000000000003</v>
      </c>
      <c r="AO6" s="10"/>
      <c r="AP6" s="10"/>
      <c r="AQ6" s="10"/>
      <c r="AR6" s="10"/>
      <c r="AS6" s="10"/>
      <c r="AT6" s="10"/>
      <c r="AU6" s="10"/>
      <c r="AV6" s="10"/>
      <c r="AW6" s="10"/>
      <c r="AX6" s="16">
        <f t="shared" ref="AX6:BC6" si="10">SUMIF(AX7:AX127,"&gt;0")</f>
        <v>3296</v>
      </c>
      <c r="AY6" s="16">
        <f t="shared" si="10"/>
        <v>285.27484772529442</v>
      </c>
      <c r="AZ6" s="20">
        <f t="shared" si="10"/>
        <v>999.99999999999966</v>
      </c>
      <c r="BA6" s="16">
        <f t="shared" si="10"/>
        <v>22.679999999999996</v>
      </c>
      <c r="BB6" s="15">
        <f t="shared" si="10"/>
        <v>37.335008551310779</v>
      </c>
      <c r="BC6" s="10">
        <f t="shared" si="10"/>
        <v>9999.9999999999836</v>
      </c>
      <c r="BD6" s="10"/>
      <c r="BE6" s="10"/>
      <c r="BF6" s="10"/>
      <c r="BG6" s="17">
        <f>SUMIF(BG7:BG127,"&gt;0")</f>
        <v>534</v>
      </c>
      <c r="BH6" s="40">
        <f>SUMIF(BH7:BH127,"&gt;0")</f>
        <v>2000.0000000000014</v>
      </c>
      <c r="BI6" s="17"/>
      <c r="BJ6" s="17"/>
      <c r="BK6" s="7"/>
    </row>
    <row r="7" spans="2:85" ht="20.100000000000001" customHeight="1" x14ac:dyDescent="0.25">
      <c r="B7" s="1">
        <v>9</v>
      </c>
      <c r="C7" s="26">
        <v>1</v>
      </c>
      <c r="D7" s="1" t="str">
        <f>IF(C7&lt;B7,"▲"&amp;B7-C7,IF(C7&gt;B7,"▼"&amp;C7-B7,"—"))</f>
        <v>▲8</v>
      </c>
      <c r="E7" s="2" t="s">
        <v>23</v>
      </c>
      <c r="F7" s="27">
        <f>G7+O7+W7+AE7+BC7+BH7</f>
        <v>1323.7837463552487</v>
      </c>
      <c r="G7" s="12">
        <f>IF(COUNTIF(H7:INDEX(H7:N7,$B$1),"&gt;0")=0,0,
(SUMIF(H7:INDEX(H7:N7,$B$1),"&gt;0",H7:INDEX(H7:N7,$B$1))*$B$1/COUNTIF(H7:INDEX(H7:N7,$B$1),"&gt;0"))*
IF($B$1-COUNTIF(H7:INDEX(H7:N7,$B$1),"&gt;0")&lt;=2,1,
IF($B$1-COUNTIF(H7:INDEX(H7:N7,$B$1),"&gt;0")=3,0.8,
IF($B$1-COUNTIF(H7:INDEX(H7:N7,$B$1),"&gt;0")=4,0.6,0))))</f>
        <v>513</v>
      </c>
      <c r="H7" s="3">
        <v>70</v>
      </c>
      <c r="I7" s="3">
        <v>69</v>
      </c>
      <c r="J7" s="3">
        <v>86</v>
      </c>
      <c r="K7" s="3">
        <v>143</v>
      </c>
      <c r="L7" s="3">
        <v>145</v>
      </c>
      <c r="M7" s="3"/>
      <c r="N7" s="3"/>
      <c r="O7" s="10">
        <f>0.2*IF(COUNTIF(P7:INDEX(P7:V7,$B$1),"&gt;0")=0,0,
(SUMIF(P7:INDEX(P7:V7,$B$1),"&gt;0",P7:INDEX(P7:V7,$B$1))*$B$1/COUNTIF(P7:INDEX(P7:V7,$B$1),"&gt;0"))*
IF($B$1-COUNTIF(P7:INDEX(P7:V7,$B$1),"&gt;0")&lt;=2,1,
IF($B$1-COUNTIF(P7:INDEX(P7:V7,$B$1),"&gt;0")=3,0.8,
IF($B$1-COUNTIF(P7:INDEX(P7:V7,$B$1),"&gt;0")=4,0.6,0))))</f>
        <v>54.2</v>
      </c>
      <c r="P7" s="3">
        <v>56</v>
      </c>
      <c r="Q7" s="3">
        <v>50</v>
      </c>
      <c r="R7" s="3">
        <v>53</v>
      </c>
      <c r="S7" s="3">
        <v>57</v>
      </c>
      <c r="T7" s="3">
        <v>55</v>
      </c>
      <c r="W7" s="3">
        <f>MIN(100,
IF($B$1&gt;=1,IFERROR(VALUE(SUBSTITUTE(SUBSTITUTE(TRIM(X7),"A",""),"B","")),0),0)+
IF($B$1&gt;=2,IFERROR(VALUE(SUBSTITUTE(SUBSTITUTE(TRIM(Y7),"A",""),"B","")),0),0)+
IF($B$1&gt;=3,IFERROR(VALUE(SUBSTITUTE(SUBSTITUTE(TRIM(Z7),"A",""),"B","")),0),0)+
IF($B$1&gt;=4,IFERROR(VALUE(SUBSTITUTE(SUBSTITUTE(TRIM(AA7),"A",""),"B","")),0),0)+
IF($B$1&gt;=5,IFERROR(VALUE(SUBSTITUTE(SUBSTITUTE(TRIM(AB7),"A",""),"B","")),0),0)+
IF($B$1&gt;=6,IFERROR(VALUE(SUBSTITUTE(SUBSTITUTE(TRIM(AC7),"A",""),"B","")),0),0)+
IF($B$1&gt;=7,IFERROR(VALUE(SUBSTITUTE(SUBSTITUTE(TRIM(AD7),"A",""),"B","")),0),0)
)</f>
        <v>100</v>
      </c>
      <c r="X7" s="3" t="s">
        <v>14</v>
      </c>
      <c r="Y7" s="3" t="s">
        <v>14</v>
      </c>
      <c r="Z7" s="3" t="s">
        <v>14</v>
      </c>
      <c r="AA7" s="3" t="s">
        <v>132</v>
      </c>
      <c r="AB7" s="3" t="s">
        <v>132</v>
      </c>
      <c r="AE7" s="19">
        <f>AH7+AK7+AN7+AQ7+AT7+AW7+AZ7</f>
        <v>295.53620095868149</v>
      </c>
      <c r="AF7" s="10">
        <v>11.1</v>
      </c>
      <c r="AG7" s="10">
        <f>SQRT(AF7)</f>
        <v>3.3316662497915361</v>
      </c>
      <c r="AH7" s="10">
        <f>IF(AG7&gt;0,AG7/AG$6*1000, 0)</f>
        <v>80.204728547327704</v>
      </c>
      <c r="AI7" s="10">
        <v>2.7</v>
      </c>
      <c r="AJ7" s="10">
        <f>SQRT(AI7)</f>
        <v>1.6431676725154984</v>
      </c>
      <c r="AK7" s="10">
        <f>IF(AJ7&gt;0,AJ7/AJ$6*1000, 0)</f>
        <v>46.380741305485557</v>
      </c>
      <c r="AL7" s="10">
        <v>6.3</v>
      </c>
      <c r="AM7" s="10">
        <f>SQRT(AL7)</f>
        <v>2.5099800796022267</v>
      </c>
      <c r="AN7" s="10">
        <f>IF(AM7&gt;0,AM7/AM$6*1000, 0)</f>
        <v>101.61436105618117</v>
      </c>
      <c r="AX7" s="17">
        <v>369</v>
      </c>
      <c r="AY7" s="10">
        <f>SQRT(AX7)</f>
        <v>19.209372712298546</v>
      </c>
      <c r="AZ7" s="21">
        <f>IF(AY7&gt;0, AY7/AY$6*1000, 0)</f>
        <v>67.336370049687034</v>
      </c>
      <c r="BA7" s="16">
        <v>1.36</v>
      </c>
      <c r="BB7" s="15">
        <f>SQRT(BA7)</f>
        <v>1.1661903789690602</v>
      </c>
      <c r="BC7" s="10">
        <f>IF(BB7&gt;0, BB7/BB$6*10000, 0)</f>
        <v>312.35840681978817</v>
      </c>
      <c r="BG7" s="17">
        <v>13</v>
      </c>
      <c r="BH7" s="40">
        <f>IF(BG7&gt;0, BG7/BG$6*2000, 0)</f>
        <v>48.68913857677903</v>
      </c>
      <c r="BJ7" s="17"/>
      <c r="BK7" s="3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2:85" ht="20.100000000000001" customHeight="1" x14ac:dyDescent="0.25">
      <c r="B8" s="1">
        <v>22</v>
      </c>
      <c r="C8" s="26">
        <v>2</v>
      </c>
      <c r="D8" s="1" t="str">
        <f>IF(C8&lt;B8,"▲"&amp;B8-C8,IF(C8&gt;B8,"▼"&amp;C8-B8,"—"))</f>
        <v>▲20</v>
      </c>
      <c r="E8" s="2" t="s">
        <v>37</v>
      </c>
      <c r="F8" s="27">
        <f>G8+O8+W8+AE8+BC8+BH8</f>
        <v>1299.5327290451496</v>
      </c>
      <c r="G8" s="12">
        <f>IF(COUNTIF(H8:INDEX(H8:N8,$B$1),"&gt;0")=0,0,
(SUMIF(H8:INDEX(H8:N8,$B$1),"&gt;0",H8:INDEX(H8:N8,$B$1))*$B$1/COUNTIF(H8:INDEX(H8:N8,$B$1),"&gt;0"))*
IF($B$1-COUNTIF(H8:INDEX(H8:N8,$B$1),"&gt;0")&lt;=2,1,
IF($B$1-COUNTIF(H8:INDEX(H8:N8,$B$1),"&gt;0")=3,0.8,
IF($B$1-COUNTIF(H8:INDEX(H8:N8,$B$1),"&gt;0")=4,0.6,0))))</f>
        <v>509</v>
      </c>
      <c r="H8" s="3">
        <v>48</v>
      </c>
      <c r="I8" s="3">
        <v>60</v>
      </c>
      <c r="J8" s="3">
        <v>70</v>
      </c>
      <c r="K8" s="3">
        <v>243</v>
      </c>
      <c r="L8" s="3">
        <v>88</v>
      </c>
      <c r="M8" s="3"/>
      <c r="N8" s="3"/>
      <c r="O8" s="10">
        <f>0.2*IF(COUNTIF(P8:INDEX(P8:V8,$B$1),"&gt;0")=0,0,
(SUMIF(P8:INDEX(P8:V8,$B$1),"&gt;0",P8:INDEX(P8:V8,$B$1))*$B$1/COUNTIF(P8:INDEX(P8:V8,$B$1),"&gt;0"))*
IF($B$1-COUNTIF(P8:INDEX(P8:V8,$B$1),"&gt;0")&lt;=2,1,
IF($B$1-COUNTIF(P8:INDEX(P8:V8,$B$1),"&gt;0")=3,0.8,
IF($B$1-COUNTIF(P8:INDEX(P8:V8,$B$1),"&gt;0")=4,0.6,0))))</f>
        <v>52.800000000000004</v>
      </c>
      <c r="P8" s="3">
        <v>56</v>
      </c>
      <c r="Q8" s="3">
        <v>48</v>
      </c>
      <c r="R8" s="3">
        <v>55</v>
      </c>
      <c r="S8" s="3">
        <v>51</v>
      </c>
      <c r="T8" s="3">
        <v>54</v>
      </c>
      <c r="W8" s="3">
        <f>MIN(100,
IF($B$1&gt;=1,IFERROR(VALUE(SUBSTITUTE(SUBSTITUTE(TRIM(X8),"A",""),"B","")),0),0)+
IF($B$1&gt;=2,IFERROR(VALUE(SUBSTITUTE(SUBSTITUTE(TRIM(Y8),"A",""),"B","")),0),0)+
IF($B$1&gt;=3,IFERROR(VALUE(SUBSTITUTE(SUBSTITUTE(TRIM(Z8),"A",""),"B","")),0),0)+
IF($B$1&gt;=4,IFERROR(VALUE(SUBSTITUTE(SUBSTITUTE(TRIM(AA8),"A",""),"B","")),0),0)+
IF($B$1&gt;=5,IFERROR(VALUE(SUBSTITUTE(SUBSTITUTE(TRIM(AB8),"A",""),"B","")),0),0)+
IF($B$1&gt;=6,IFERROR(VALUE(SUBSTITUTE(SUBSTITUTE(TRIM(AC8),"A",""),"B","")),0),0)+
IF($B$1&gt;=7,IFERROR(VALUE(SUBSTITUTE(SUBSTITUTE(TRIM(AD8),"A",""),"B","")),0),0)
)</f>
        <v>100</v>
      </c>
      <c r="X8" s="3" t="s">
        <v>14</v>
      </c>
      <c r="Y8" s="3" t="s">
        <v>14</v>
      </c>
      <c r="Z8" s="3" t="s">
        <v>14</v>
      </c>
      <c r="AA8" s="3" t="s">
        <v>132</v>
      </c>
      <c r="AB8" s="3" t="s">
        <v>134</v>
      </c>
      <c r="AE8" s="19">
        <f>AH8+AK8+AN8+AQ8+AT8+AW8+AZ8</f>
        <v>231.3000051771287</v>
      </c>
      <c r="AF8" s="10">
        <v>5.9</v>
      </c>
      <c r="AG8" s="10">
        <f>SQRT(AF8)</f>
        <v>2.4289915602982237</v>
      </c>
      <c r="AH8" s="10">
        <f>IF(AG8&gt;0,AG8/AG$6*1000, 0)</f>
        <v>58.474227047699856</v>
      </c>
      <c r="AI8" s="10">
        <v>3.6</v>
      </c>
      <c r="AJ8" s="10">
        <f>SQRT(AI8)</f>
        <v>1.8973665961010275</v>
      </c>
      <c r="AK8" s="10">
        <f>IF(AJ8&gt;0,AJ8/AJ$6*1000, 0)</f>
        <v>53.555866955872958</v>
      </c>
      <c r="AL8" s="10">
        <v>2</v>
      </c>
      <c r="AM8" s="10">
        <f>SQRT(AL8)</f>
        <v>1.4142135623730951</v>
      </c>
      <c r="AN8" s="10">
        <f>IF(AM8&gt;0,AM8/AM$6*1000, 0)</f>
        <v>57.2532063921008</v>
      </c>
      <c r="AX8" s="17">
        <v>313</v>
      </c>
      <c r="AY8" s="10">
        <f>SQRT(AX8)</f>
        <v>17.691806012954132</v>
      </c>
      <c r="AZ8" s="21">
        <f>IF(AY8&gt;0, AY8/AY$6*1000, 0)</f>
        <v>62.016704781455068</v>
      </c>
      <c r="BA8" s="16">
        <v>1.71</v>
      </c>
      <c r="BB8" s="15">
        <f>SQRT(BA8)</f>
        <v>1.3076696830622021</v>
      </c>
      <c r="BC8" s="10">
        <f>IF(BB8&gt;0, BB8/BB$6*10000, 0)</f>
        <v>350.25294858712221</v>
      </c>
      <c r="BG8" s="17">
        <v>15</v>
      </c>
      <c r="BH8" s="40">
        <f>IF(BG8&gt;0, BG8/BG$6*2000, 0)</f>
        <v>56.179775280898873</v>
      </c>
      <c r="BJ8" s="17"/>
      <c r="BK8" s="3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2:85" ht="20.100000000000001" customHeight="1" x14ac:dyDescent="0.25">
      <c r="B9" s="1">
        <v>7</v>
      </c>
      <c r="C9" s="26">
        <v>3</v>
      </c>
      <c r="D9" s="1" t="str">
        <f>IF(C9&lt;B9,"▲"&amp;B9-C9,IF(C9&gt;B9,"▼"&amp;C9-B9,"—"))</f>
        <v>▲4</v>
      </c>
      <c r="E9" s="2" t="s">
        <v>21</v>
      </c>
      <c r="F9" s="27">
        <f>G9+O9+W9+AE9+BC9+BH9</f>
        <v>1213.8575770601822</v>
      </c>
      <c r="G9" s="12">
        <f>IF(COUNTIF(H9:INDEX(H9:N9,$B$1),"&gt;0")=0,0,
(SUMIF(H9:INDEX(H9:N9,$B$1),"&gt;0",H9:INDEX(H9:N9,$B$1))*$B$1/COUNTIF(H9:INDEX(H9:N9,$B$1),"&gt;0"))*
IF($B$1-COUNTIF(H9:INDEX(H9:N9,$B$1),"&gt;0")&lt;=2,1,
IF($B$1-COUNTIF(H9:INDEX(H9:N9,$B$1),"&gt;0")=3,0.8,
IF($B$1-COUNTIF(H9:INDEX(H9:N9,$B$1),"&gt;0")=4,0.6,0))))</f>
        <v>526</v>
      </c>
      <c r="H9" s="3">
        <v>76</v>
      </c>
      <c r="I9" s="3">
        <v>77</v>
      </c>
      <c r="J9" s="3">
        <v>80</v>
      </c>
      <c r="K9" s="3">
        <v>170</v>
      </c>
      <c r="L9" s="3">
        <v>123</v>
      </c>
      <c r="M9" s="3"/>
      <c r="N9" s="3"/>
      <c r="O9" s="10">
        <f>0.2*IF(COUNTIF(P9:INDEX(P9:V9,$B$1),"&gt;0")=0,0,
(SUMIF(P9:INDEX(P9:V9,$B$1),"&gt;0",P9:INDEX(P9:V9,$B$1))*$B$1/COUNTIF(P9:INDEX(P9:V9,$B$1),"&gt;0"))*
IF($B$1-COUNTIF(P9:INDEX(P9:V9,$B$1),"&gt;0")&lt;=2,1,
IF($B$1-COUNTIF(P9:INDEX(P9:V9,$B$1),"&gt;0")=3,0.8,
IF($B$1-COUNTIF(P9:INDEX(P9:V9,$B$1),"&gt;0")=4,0.6,0))))</f>
        <v>50.400000000000006</v>
      </c>
      <c r="P9" s="3">
        <v>53</v>
      </c>
      <c r="Q9" s="3">
        <v>44</v>
      </c>
      <c r="R9" s="3">
        <v>55</v>
      </c>
      <c r="S9" s="3">
        <v>50</v>
      </c>
      <c r="T9" s="3">
        <v>50</v>
      </c>
      <c r="W9" s="3">
        <f>MIN(100,
IF($B$1&gt;=1,IFERROR(VALUE(SUBSTITUTE(SUBSTITUTE(TRIM(X9),"A",""),"B","")),0),0)+
IF($B$1&gt;=2,IFERROR(VALUE(SUBSTITUTE(SUBSTITUTE(TRIM(Y9),"A",""),"B","")),0),0)+
IF($B$1&gt;=3,IFERROR(VALUE(SUBSTITUTE(SUBSTITUTE(TRIM(Z9),"A",""),"B","")),0),0)+
IF($B$1&gt;=4,IFERROR(VALUE(SUBSTITUTE(SUBSTITUTE(TRIM(AA9),"A",""),"B","")),0),0)+
IF($B$1&gt;=5,IFERROR(VALUE(SUBSTITUTE(SUBSTITUTE(TRIM(AB9),"A",""),"B","")),0),0)+
IF($B$1&gt;=6,IFERROR(VALUE(SUBSTITUTE(SUBSTITUTE(TRIM(AC9),"A",""),"B","")),0),0)+
IF($B$1&gt;=7,IFERROR(VALUE(SUBSTITUTE(SUBSTITUTE(TRIM(AD9),"A",""),"B","")),0),0)
)</f>
        <v>100</v>
      </c>
      <c r="X9" s="3" t="s">
        <v>17</v>
      </c>
      <c r="Y9" s="3" t="s">
        <v>14</v>
      </c>
      <c r="Z9" s="3" t="s">
        <v>17</v>
      </c>
      <c r="AA9" s="3" t="s">
        <v>134</v>
      </c>
      <c r="AB9" s="3" t="s">
        <v>134</v>
      </c>
      <c r="AE9" s="19">
        <f>AH9+AK9+AN9+AQ9+AT9+AW9+AZ9</f>
        <v>186.57820451575284</v>
      </c>
      <c r="AF9" s="10">
        <v>3.7</v>
      </c>
      <c r="AG9" s="10">
        <f>SQRT(AF9)</f>
        <v>1.9235384061671346</v>
      </c>
      <c r="AH9" s="10">
        <f>IF(AG9&gt;0,AG9/AG$6*1000, 0)</f>
        <v>46.30622161708051</v>
      </c>
      <c r="AI9" s="10">
        <v>2.9</v>
      </c>
      <c r="AJ9" s="10">
        <f>SQRT(AI9)</f>
        <v>1.70293863659264</v>
      </c>
      <c r="AK9" s="10">
        <f>IF(AJ9&gt;0,AJ9/AJ$6*1000, 0)</f>
        <v>48.067861657724123</v>
      </c>
      <c r="AL9" s="10">
        <v>2.6</v>
      </c>
      <c r="AM9" s="10">
        <f>SQRT(AL9)</f>
        <v>1.61245154965971</v>
      </c>
      <c r="AN9" s="10">
        <f>IF(AM9&gt;0,AM9/AM$6*1000, 0)</f>
        <v>65.278698936402222</v>
      </c>
      <c r="AX9" s="17">
        <v>59</v>
      </c>
      <c r="AY9" s="10">
        <f>SQRT(AX9)</f>
        <v>7.6811457478686078</v>
      </c>
      <c r="AZ9" s="21">
        <f>IF(AY9&gt;0, AY9/AY$6*1000, 0)</f>
        <v>26.925422304546007</v>
      </c>
      <c r="BA9" s="16">
        <v>1.18</v>
      </c>
      <c r="BB9" s="15">
        <f>SQRT(BA9)</f>
        <v>1.0862780491200215</v>
      </c>
      <c r="BC9" s="10">
        <f>IF(BB9&gt;0, BB9/BB$6*10000, 0)</f>
        <v>290.95427891147057</v>
      </c>
      <c r="BG9" s="17">
        <v>16</v>
      </c>
      <c r="BH9" s="40">
        <f>IF(BG9&gt;0, BG9/BG$6*2000, 0)</f>
        <v>59.925093632958799</v>
      </c>
      <c r="BJ9" s="17"/>
      <c r="BK9" s="3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2:85" ht="20.100000000000001" customHeight="1" x14ac:dyDescent="0.25">
      <c r="B10" s="1">
        <v>11</v>
      </c>
      <c r="C10" s="26">
        <v>4</v>
      </c>
      <c r="D10" s="1" t="str">
        <f>IF(C10&lt;B10,"▲"&amp;B10-C10,IF(C10&gt;B10,"▼"&amp;C10-B10,"—"))</f>
        <v>▲7</v>
      </c>
      <c r="E10" s="2" t="s">
        <v>25</v>
      </c>
      <c r="F10" s="27">
        <f>G10+O10+W10+AE10+BC10+BH10</f>
        <v>1134.7872226561292</v>
      </c>
      <c r="G10" s="12">
        <f>IF(COUNTIF(H10:INDEX(H10:N10,$B$1),"&gt;0")=0,0,
(SUMIF(H10:INDEX(H10:N10,$B$1),"&gt;0",H10:INDEX(H10:N10,$B$1))*$B$1/COUNTIF(H10:INDEX(H10:N10,$B$1),"&gt;0"))*
IF($B$1-COUNTIF(H10:INDEX(H10:N10,$B$1),"&gt;0")&lt;=2,1,
IF($B$1-COUNTIF(H10:INDEX(H10:N10,$B$1),"&gt;0")=3,0.8,
IF($B$1-COUNTIF(H10:INDEX(H10:N10,$B$1),"&gt;0")=4,0.6,0))))</f>
        <v>454</v>
      </c>
      <c r="H10" s="3">
        <v>72</v>
      </c>
      <c r="I10" s="3">
        <v>63</v>
      </c>
      <c r="J10" s="3">
        <v>87</v>
      </c>
      <c r="K10" s="3">
        <v>160</v>
      </c>
      <c r="L10" s="3">
        <v>72</v>
      </c>
      <c r="M10" s="3"/>
      <c r="N10" s="3"/>
      <c r="O10" s="10">
        <f>0.2*IF(COUNTIF(P10:INDEX(P10:V10,$B$1),"&gt;0")=0,0,
(SUMIF(P10:INDEX(P10:V10,$B$1),"&gt;0",P10:INDEX(P10:V10,$B$1))*$B$1/COUNTIF(P10:INDEX(P10:V10,$B$1),"&gt;0"))*
IF($B$1-COUNTIF(P10:INDEX(P10:V10,$B$1),"&gt;0")&lt;=2,1,
IF($B$1-COUNTIF(P10:INDEX(P10:V10,$B$1),"&gt;0")=3,0.8,
IF($B$1-COUNTIF(P10:INDEX(P10:V10,$B$1),"&gt;0")=4,0.6,0))))</f>
        <v>52</v>
      </c>
      <c r="P10" s="3">
        <v>56</v>
      </c>
      <c r="Q10" s="3">
        <v>45</v>
      </c>
      <c r="R10" s="3">
        <v>52</v>
      </c>
      <c r="S10" s="3">
        <v>57</v>
      </c>
      <c r="T10" s="3">
        <v>50</v>
      </c>
      <c r="W10" s="3">
        <f>MIN(100,
IF($B$1&gt;=1,IFERROR(VALUE(SUBSTITUTE(SUBSTITUTE(TRIM(X10),"A",""),"B","")),0),0)+
IF($B$1&gt;=2,IFERROR(VALUE(SUBSTITUTE(SUBSTITUTE(TRIM(Y10),"A",""),"B","")),0),0)+
IF($B$1&gt;=3,IFERROR(VALUE(SUBSTITUTE(SUBSTITUTE(TRIM(Z10),"A",""),"B","")),0),0)+
IF($B$1&gt;=4,IFERROR(VALUE(SUBSTITUTE(SUBSTITUTE(TRIM(AA10),"A",""),"B","")),0),0)+
IF($B$1&gt;=5,IFERROR(VALUE(SUBSTITUTE(SUBSTITUTE(TRIM(AB10),"A",""),"B","")),0),0)+
IF($B$1&gt;=6,IFERROR(VALUE(SUBSTITUTE(SUBSTITUTE(TRIM(AC10),"A",""),"B","")),0),0)+
IF($B$1&gt;=7,IFERROR(VALUE(SUBSTITUTE(SUBSTITUTE(TRIM(AD10),"A",""),"B","")),0),0)
)</f>
        <v>100</v>
      </c>
      <c r="X10" s="3" t="s">
        <v>14</v>
      </c>
      <c r="Y10" s="3" t="s">
        <v>14</v>
      </c>
      <c r="Z10" s="3" t="s">
        <v>14</v>
      </c>
      <c r="AA10" s="3" t="s">
        <v>132</v>
      </c>
      <c r="AB10" s="3" t="s">
        <v>132</v>
      </c>
      <c r="AE10" s="19">
        <f>AH10+AK10+AN10+AQ10+AT10+AW10+AZ10</f>
        <v>210.56164550407999</v>
      </c>
      <c r="AF10" s="10">
        <v>5</v>
      </c>
      <c r="AG10" s="10">
        <f>SQRT(AF10)</f>
        <v>2.2360679774997898</v>
      </c>
      <c r="AH10" s="10">
        <f>IF(AG10&gt;0,AG10/AG$6*1000, 0)</f>
        <v>53.82988922133611</v>
      </c>
      <c r="AI10" s="10">
        <v>2.6</v>
      </c>
      <c r="AJ10" s="10">
        <f>SQRT(AI10)</f>
        <v>1.61245154965971</v>
      </c>
      <c r="AK10" s="10">
        <f>IF(AJ10&gt;0,AJ10/AJ$6*1000, 0)</f>
        <v>45.513735112562543</v>
      </c>
      <c r="AL10" s="10">
        <v>2</v>
      </c>
      <c r="AM10" s="10">
        <f>SQRT(AL10)</f>
        <v>1.4142135623730951</v>
      </c>
      <c r="AN10" s="10">
        <f>IF(AM10&gt;0,AM10/AM$6*1000, 0)</f>
        <v>57.2532063921008</v>
      </c>
      <c r="AX10" s="17">
        <v>237</v>
      </c>
      <c r="AY10" s="10">
        <f>SQRT(AX10)</f>
        <v>15.394804318340652</v>
      </c>
      <c r="AZ10" s="21">
        <f>IF(AY10&gt;0, AY10/AY$6*1000, 0)</f>
        <v>53.964814778080566</v>
      </c>
      <c r="BA10" s="16">
        <v>0.93</v>
      </c>
      <c r="BB10" s="15">
        <f>SQRT(BA10)</f>
        <v>0.96436507609929556</v>
      </c>
      <c r="BC10" s="10">
        <f>IF(BB10&gt;0, BB10/BB$6*10000, 0)</f>
        <v>258.30048351909056</v>
      </c>
      <c r="BG10" s="17">
        <v>16</v>
      </c>
      <c r="BH10" s="40">
        <f>IF(BG10&gt;0, BG10/BG$6*2000, 0)</f>
        <v>59.925093632958799</v>
      </c>
      <c r="BJ10" s="17"/>
      <c r="BK10" s="3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2:85" ht="20.100000000000001" customHeight="1" x14ac:dyDescent="0.25">
      <c r="B11" s="1">
        <v>15</v>
      </c>
      <c r="C11" s="26">
        <v>5</v>
      </c>
      <c r="D11" s="1" t="str">
        <f>IF(C11&lt;B11,"▲"&amp;B11-C11,IF(C11&gt;B11,"▼"&amp;C11-B11,"—"))</f>
        <v>▲10</v>
      </c>
      <c r="E11" s="2" t="s">
        <v>29</v>
      </c>
      <c r="F11" s="27">
        <f>G11+O11+W11+AE11+BC11+BH11</f>
        <v>1102.3283487884551</v>
      </c>
      <c r="G11" s="12">
        <f>IF(COUNTIF(H11:INDEX(H11:N11,$B$1),"&gt;0")=0,0,
(SUMIF(H11:INDEX(H11:N11,$B$1),"&gt;0",H11:INDEX(H11:N11,$B$1))*$B$1/COUNTIF(H11:INDEX(H11:N11,$B$1),"&gt;0"))*
IF($B$1-COUNTIF(H11:INDEX(H11:N11,$B$1),"&gt;0")&lt;=2,1,
IF($B$1-COUNTIF(H11:INDEX(H11:N11,$B$1),"&gt;0")=3,0.8,
IF($B$1-COUNTIF(H11:INDEX(H11:N11,$B$1),"&gt;0")=4,0.6,0))))</f>
        <v>423</v>
      </c>
      <c r="H11" s="3">
        <v>80</v>
      </c>
      <c r="I11" s="3">
        <v>70</v>
      </c>
      <c r="J11" s="3">
        <v>60</v>
      </c>
      <c r="K11" s="3">
        <v>138</v>
      </c>
      <c r="L11" s="3">
        <v>75</v>
      </c>
      <c r="M11" s="3"/>
      <c r="N11" s="3"/>
      <c r="O11" s="10">
        <f>0.2*IF(COUNTIF(P11:INDEX(P11:V11,$B$1),"&gt;0")=0,0,
(SUMIF(P11:INDEX(P11:V11,$B$1),"&gt;0",P11:INDEX(P11:V11,$B$1))*$B$1/COUNTIF(P11:INDEX(P11:V11,$B$1),"&gt;0"))*
IF($B$1-COUNTIF(P11:INDEX(P11:V11,$B$1),"&gt;0")&lt;=2,1,
IF($B$1-COUNTIF(P11:INDEX(P11:V11,$B$1),"&gt;0")=3,0.8,
IF($B$1-COUNTIF(P11:INDEX(P11:V11,$B$1),"&gt;0")=4,0.6,0))))</f>
        <v>62</v>
      </c>
      <c r="P11" s="3">
        <v>66</v>
      </c>
      <c r="Q11" s="3">
        <v>59</v>
      </c>
      <c r="R11" s="3">
        <v>60</v>
      </c>
      <c r="S11" s="3">
        <v>64</v>
      </c>
      <c r="T11" s="3">
        <v>61</v>
      </c>
      <c r="W11" s="3">
        <f>MIN(100,
IF($B$1&gt;=1,IFERROR(VALUE(SUBSTITUTE(SUBSTITUTE(TRIM(X11),"A",""),"B","")),0),0)+
IF($B$1&gt;=2,IFERROR(VALUE(SUBSTITUTE(SUBSTITUTE(TRIM(Y11),"A",""),"B","")),0),0)+
IF($B$1&gt;=3,IFERROR(VALUE(SUBSTITUTE(SUBSTITUTE(TRIM(Z11),"A",""),"B","")),0),0)+
IF($B$1&gt;=4,IFERROR(VALUE(SUBSTITUTE(SUBSTITUTE(TRIM(AA11),"A",""),"B","")),0),0)+
IF($B$1&gt;=5,IFERROR(VALUE(SUBSTITUTE(SUBSTITUTE(TRIM(AB11),"A",""),"B","")),0),0)+
IF($B$1&gt;=6,IFERROR(VALUE(SUBSTITUTE(SUBSTITUTE(TRIM(AC11),"A",""),"B","")),0),0)+
IF($B$1&gt;=7,IFERROR(VALUE(SUBSTITUTE(SUBSTITUTE(TRIM(AD11),"A",""),"B","")),0),0)
)</f>
        <v>60</v>
      </c>
      <c r="X11" s="3" t="s">
        <v>14</v>
      </c>
      <c r="Y11" s="3" t="s">
        <v>14</v>
      </c>
      <c r="AB11" s="3" t="s">
        <v>134</v>
      </c>
      <c r="AE11" s="19">
        <f>AH11+AK11+AN11+AQ11+AT11+AW11+AZ11</f>
        <v>330.14875099228993</v>
      </c>
      <c r="AF11" s="10">
        <v>7</v>
      </c>
      <c r="AG11" s="10">
        <f>SQRT(AF11)</f>
        <v>2.6457513110645907</v>
      </c>
      <c r="AH11" s="10">
        <f>IF(AG11&gt;0,AG11/AG$6*1000, 0)</f>
        <v>63.692383869767696</v>
      </c>
      <c r="AI11" s="10">
        <v>4.2</v>
      </c>
      <c r="AJ11" s="10">
        <f>SQRT(AI11)</f>
        <v>2.0493901531919199</v>
      </c>
      <c r="AK11" s="10">
        <f>IF(AJ11&gt;0,AJ11/AJ$6*1000, 0)</f>
        <v>57.846947769907096</v>
      </c>
      <c r="AL11" s="10">
        <v>11.3</v>
      </c>
      <c r="AM11" s="10">
        <f>SQRT(AL11)</f>
        <v>3.3615472627943221</v>
      </c>
      <c r="AN11" s="10">
        <f>IF(AM11&gt;0,AM11/AM$6*1000, 0)</f>
        <v>136.08931801687146</v>
      </c>
      <c r="AX11" s="17">
        <v>428</v>
      </c>
      <c r="AY11" s="10">
        <f>SQRT(AX11)</f>
        <v>20.688160865577203</v>
      </c>
      <c r="AZ11" s="21">
        <f>IF(AY11&gt;0, AY11/AY$6*1000, 0)</f>
        <v>72.520101335743703</v>
      </c>
      <c r="BA11" s="16">
        <v>0.65</v>
      </c>
      <c r="BB11" s="15">
        <f>SQRT(BA11)</f>
        <v>0.80622577482985502</v>
      </c>
      <c r="BC11" s="10">
        <f>IF(BB11&gt;0, BB11/BB$6*10000, 0)</f>
        <v>215.94364273998528</v>
      </c>
      <c r="BG11" s="17">
        <v>3</v>
      </c>
      <c r="BH11" s="40">
        <f>IF(BG11&gt;0, BG11/BG$6*2000, 0)</f>
        <v>11.235955056179774</v>
      </c>
      <c r="BJ11" s="17"/>
      <c r="BK11" s="3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2:85" ht="20.100000000000001" customHeight="1" x14ac:dyDescent="0.25">
      <c r="B12" s="1">
        <v>1</v>
      </c>
      <c r="C12" s="26">
        <v>6</v>
      </c>
      <c r="D12" s="1" t="str">
        <f>IF(C12&lt;B12,"▲"&amp;B12-C12,IF(C12&gt;B12,"▼"&amp;C12-B12,"—"))</f>
        <v>▼5</v>
      </c>
      <c r="E12" s="2" t="s">
        <v>13</v>
      </c>
      <c r="F12" s="27">
        <f>G12+O12+W12+AE12+BC12+BH12</f>
        <v>1025.1174814175888</v>
      </c>
      <c r="G12" s="12">
        <f>IF(COUNTIF(H12:INDEX(H12:N12,$B$1),"&gt;0")=0,0,
(SUMIF(H12:INDEX(H12:N12,$B$1),"&gt;0",H12:INDEX(H12:N12,$B$1))*$B$1/COUNTIF(H12:INDEX(H12:N12,$B$1),"&gt;0"))*
IF($B$1-COUNTIF(H12:INDEX(H12:N12,$B$1),"&gt;0")&lt;=2,1,
IF($B$1-COUNTIF(H12:INDEX(H12:N12,$B$1),"&gt;0")=3,0.8,
IF($B$1-COUNTIF(H12:INDEX(H12:N12,$B$1),"&gt;0")=4,0.6,0))))</f>
        <v>562</v>
      </c>
      <c r="H12" s="3">
        <v>68</v>
      </c>
      <c r="I12" s="3">
        <v>123</v>
      </c>
      <c r="J12" s="3">
        <v>154</v>
      </c>
      <c r="K12" s="3">
        <v>128</v>
      </c>
      <c r="L12" s="3">
        <v>89</v>
      </c>
      <c r="M12" s="3"/>
      <c r="N12" s="3"/>
      <c r="O12" s="10">
        <f>0.2*IF(COUNTIF(P12:INDEX(P12:V12,$B$1),"&gt;0")=0,0,
(SUMIF(P12:INDEX(P12:V12,$B$1),"&gt;0",P12:INDEX(P12:V12,$B$1))*$B$1/COUNTIF(P12:INDEX(P12:V12,$B$1),"&gt;0"))*
IF($B$1-COUNTIF(P12:INDEX(P12:V12,$B$1),"&gt;0")&lt;=2,1,
IF($B$1-COUNTIF(P12:INDEX(P12:V12,$B$1),"&gt;0")=3,0.8,
IF($B$1-COUNTIF(P12:INDEX(P12:V12,$B$1),"&gt;0")=4,0.6,0))))</f>
        <v>51.6</v>
      </c>
      <c r="P12" s="3">
        <v>55</v>
      </c>
      <c r="Q12" s="3">
        <v>42</v>
      </c>
      <c r="R12" s="3">
        <v>49</v>
      </c>
      <c r="S12" s="3">
        <v>58</v>
      </c>
      <c r="T12" s="3">
        <v>54</v>
      </c>
      <c r="W12" s="3">
        <f>MIN(100,
IF($B$1&gt;=1,IFERROR(VALUE(SUBSTITUTE(SUBSTITUTE(TRIM(X12),"A",""),"B","")),0),0)+
IF($B$1&gt;=2,IFERROR(VALUE(SUBSTITUTE(SUBSTITUTE(TRIM(Y12),"A",""),"B","")),0),0)+
IF($B$1&gt;=3,IFERROR(VALUE(SUBSTITUTE(SUBSTITUTE(TRIM(Z12),"A",""),"B","")),0),0)+
IF($B$1&gt;=4,IFERROR(VALUE(SUBSTITUTE(SUBSTITUTE(TRIM(AA12),"A",""),"B","")),0),0)+
IF($B$1&gt;=5,IFERROR(VALUE(SUBSTITUTE(SUBSTITUTE(TRIM(AB12),"A",""),"B","")),0),0)+
IF($B$1&gt;=6,IFERROR(VALUE(SUBSTITUTE(SUBSTITUTE(TRIM(AC12),"A",""),"B","")),0),0)+
IF($B$1&gt;=7,IFERROR(VALUE(SUBSTITUTE(SUBSTITUTE(TRIM(AD12),"A",""),"B","")),0),0)
)</f>
        <v>100</v>
      </c>
      <c r="X12" s="3" t="s">
        <v>14</v>
      </c>
      <c r="Y12" s="3" t="s">
        <v>14</v>
      </c>
      <c r="Z12" s="3" t="s">
        <v>14</v>
      </c>
      <c r="AA12" s="3" t="s">
        <v>132</v>
      </c>
      <c r="AB12" s="3" t="s">
        <v>132</v>
      </c>
      <c r="AE12" s="19">
        <f>AH12+AK12+AN12+AQ12+AT12+AW12+AZ12</f>
        <v>100.04207542120297</v>
      </c>
      <c r="AF12" s="10">
        <v>1.3</v>
      </c>
      <c r="AG12" s="10">
        <f>SQRT(AF12)</f>
        <v>1.1401754250991381</v>
      </c>
      <c r="AH12" s="10">
        <f>IF(AG12&gt;0,AG12/AG$6*1000, 0)</f>
        <v>27.447965555413074</v>
      </c>
      <c r="AI12" s="10">
        <v>2.4</v>
      </c>
      <c r="AJ12" s="10">
        <f>SQRT(AI12)</f>
        <v>1.5491933384829668</v>
      </c>
      <c r="AK12" s="10">
        <f>IF(AJ12&gt;0,AJ12/AJ$6*1000, 0)</f>
        <v>43.728182258090456</v>
      </c>
      <c r="AL12" s="10">
        <v>0.1</v>
      </c>
      <c r="AM12" s="10">
        <f>SQRT(AL12)</f>
        <v>0.31622776601683794</v>
      </c>
      <c r="AN12" s="10">
        <f>IF(AM12&gt;0,AM12/AM$6*1000, 0)</f>
        <v>12.802206142256285</v>
      </c>
      <c r="AX12" s="17">
        <v>21</v>
      </c>
      <c r="AY12" s="10">
        <f>SQRT(AX12)</f>
        <v>4.5825756949558398</v>
      </c>
      <c r="AZ12" s="21">
        <f>IF(AY12&gt;0, AY12/AY$6*1000, 0)</f>
        <v>16.063721465443155</v>
      </c>
      <c r="BA12" s="16">
        <v>0.57999999999999996</v>
      </c>
      <c r="BB12" s="15">
        <f>SQRT(BA12)</f>
        <v>0.76157731058639078</v>
      </c>
      <c r="BC12" s="10">
        <f>IF(BB12&gt;0, BB12/BB$6*10000, 0)</f>
        <v>203.98476929226601</v>
      </c>
      <c r="BG12" s="17">
        <v>2</v>
      </c>
      <c r="BH12" s="40">
        <f>IF(BG12&gt;0, BG12/BG$6*2000, 0)</f>
        <v>7.4906367041198498</v>
      </c>
      <c r="BJ12" s="17"/>
      <c r="BK12" s="3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2:85" ht="20.100000000000001" customHeight="1" x14ac:dyDescent="0.25">
      <c r="B13" s="1">
        <v>17</v>
      </c>
      <c r="C13" s="26">
        <v>7</v>
      </c>
      <c r="D13" s="1" t="str">
        <f>IF(C13&lt;B13,"▲"&amp;B13-C13,IF(C13&gt;B13,"▼"&amp;C13-B13,"—"))</f>
        <v>▲10</v>
      </c>
      <c r="E13" s="2" t="s">
        <v>32</v>
      </c>
      <c r="F13" s="27">
        <f>G13+O13+W13+AE13+BC13+BH13</f>
        <v>1019.2450104677724</v>
      </c>
      <c r="G13" s="12">
        <f>IF(COUNTIF(H13:INDEX(H13:N13,$B$1),"&gt;0")=0,0,
(SUMIF(H13:INDEX(H13:N13,$B$1),"&gt;0",H13:INDEX(H13:N13,$B$1))*$B$1/COUNTIF(H13:INDEX(H13:N13,$B$1),"&gt;0"))*
IF($B$1-COUNTIF(H13:INDEX(H13:N13,$B$1),"&gt;0")&lt;=2,1,
IF($B$1-COUNTIF(H13:INDEX(H13:N13,$B$1),"&gt;0")=3,0.8,
IF($B$1-COUNTIF(H13:INDEX(H13:N13,$B$1),"&gt;0")=4,0.6,0))))</f>
        <v>343</v>
      </c>
      <c r="H13" s="3">
        <v>69</v>
      </c>
      <c r="I13" s="3">
        <v>63</v>
      </c>
      <c r="J13" s="3">
        <v>64</v>
      </c>
      <c r="K13" s="3">
        <v>86</v>
      </c>
      <c r="L13" s="3">
        <v>61</v>
      </c>
      <c r="M13" s="3"/>
      <c r="N13" s="3"/>
      <c r="O13" s="10">
        <f>0.2*IF(COUNTIF(P13:INDEX(P13:V13,$B$1),"&gt;0")=0,0,
(SUMIF(P13:INDEX(P13:V13,$B$1),"&gt;0",P13:INDEX(P13:V13,$B$1))*$B$1/COUNTIF(P13:INDEX(P13:V13,$B$1),"&gt;0"))*
IF($B$1-COUNTIF(P13:INDEX(P13:V13,$B$1),"&gt;0")&lt;=2,1,
IF($B$1-COUNTIF(P13:INDEX(P13:V13,$B$1),"&gt;0")=3,0.8,
IF($B$1-COUNTIF(P13:INDEX(P13:V13,$B$1),"&gt;0")=4,0.6,0))))</f>
        <v>45</v>
      </c>
      <c r="P13" s="3">
        <v>47</v>
      </c>
      <c r="Q13" s="3">
        <v>39</v>
      </c>
      <c r="R13" s="3">
        <v>48</v>
      </c>
      <c r="S13" s="3">
        <v>45</v>
      </c>
      <c r="T13" s="3">
        <v>46</v>
      </c>
      <c r="W13" s="3">
        <f>MIN(100,
IF($B$1&gt;=1,IFERROR(VALUE(SUBSTITUTE(SUBSTITUTE(TRIM(X13),"A",""),"B","")),0),0)+
IF($B$1&gt;=2,IFERROR(VALUE(SUBSTITUTE(SUBSTITUTE(TRIM(Y13),"A",""),"B","")),0),0)+
IF($B$1&gt;=3,IFERROR(VALUE(SUBSTITUTE(SUBSTITUTE(TRIM(Z13),"A",""),"B","")),0),0)+
IF($B$1&gt;=4,IFERROR(VALUE(SUBSTITUTE(SUBSTITUTE(TRIM(AA13),"A",""),"B","")),0),0)+
IF($B$1&gt;=5,IFERROR(VALUE(SUBSTITUTE(SUBSTITUTE(TRIM(AB13),"A",""),"B","")),0),0)+
IF($B$1&gt;=6,IFERROR(VALUE(SUBSTITUTE(SUBSTITUTE(TRIM(AC13),"A",""),"B","")),0),0)+
IF($B$1&gt;=7,IFERROR(VALUE(SUBSTITUTE(SUBSTITUTE(TRIM(AD13),"A",""),"B","")),0),0)
)</f>
        <v>100</v>
      </c>
      <c r="X13" s="3" t="s">
        <v>14</v>
      </c>
      <c r="Y13" s="3" t="s">
        <v>14</v>
      </c>
      <c r="Z13" s="3" t="s">
        <v>14</v>
      </c>
      <c r="AA13" s="3" t="s">
        <v>132</v>
      </c>
      <c r="AB13" s="3" t="s">
        <v>132</v>
      </c>
      <c r="AE13" s="19">
        <f>AH13+AK13+AN13+AQ13+AT13+AW13+AZ13</f>
        <v>185.33958185357378</v>
      </c>
      <c r="AF13" s="10">
        <v>2.7</v>
      </c>
      <c r="AG13" s="10">
        <f>SQRT(AF13)</f>
        <v>1.6431676725154984</v>
      </c>
      <c r="AH13" s="10">
        <f>IF(AG13&gt;0,AG13/AG$6*1000, 0)</f>
        <v>39.556728450845263</v>
      </c>
      <c r="AI13" s="10">
        <v>2.5</v>
      </c>
      <c r="AJ13" s="10">
        <f>SQRT(AI13)</f>
        <v>1.5811388300841898</v>
      </c>
      <c r="AK13" s="10">
        <f>IF(AJ13&gt;0,AJ13/AJ$6*1000, 0)</f>
        <v>44.629889129894138</v>
      </c>
      <c r="AL13" s="10">
        <v>1.6</v>
      </c>
      <c r="AM13" s="10">
        <f>SQRT(AL13)</f>
        <v>1.2649110640673518</v>
      </c>
      <c r="AN13" s="10">
        <f>IF(AM13&gt;0,AM13/AM$6*1000, 0)</f>
        <v>51.20882456902514</v>
      </c>
      <c r="AX13" s="17">
        <v>203</v>
      </c>
      <c r="AY13" s="10">
        <f>SQRT(AX13)</f>
        <v>14.247806848775006</v>
      </c>
      <c r="AZ13" s="21">
        <f>IF(AY13&gt;0, AY13/AY$6*1000, 0)</f>
        <v>49.944139703809221</v>
      </c>
      <c r="BA13" s="16">
        <v>1.1399999999999999</v>
      </c>
      <c r="BB13" s="15">
        <f>SQRT(BA13)</f>
        <v>1.0677078252031311</v>
      </c>
      <c r="BC13" s="10">
        <f>IF(BB13&gt;0, BB13/BB$6*10000, 0)</f>
        <v>285.98033498123982</v>
      </c>
      <c r="BG13" s="17">
        <v>16</v>
      </c>
      <c r="BH13" s="40">
        <f>IF(BG13&gt;0, BG13/BG$6*2000, 0)</f>
        <v>59.925093632958799</v>
      </c>
      <c r="BJ13" s="17"/>
      <c r="BK13" s="3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2:85" ht="20.100000000000001" customHeight="1" x14ac:dyDescent="0.25">
      <c r="B14" s="1">
        <v>14</v>
      </c>
      <c r="C14" s="26">
        <v>8</v>
      </c>
      <c r="D14" s="1" t="str">
        <f>IF(C14&lt;B14,"▲"&amp;B14-C14,IF(C14&gt;B14,"▼"&amp;C14-B14,"—"))</f>
        <v>▲6</v>
      </c>
      <c r="E14" s="2" t="s">
        <v>28</v>
      </c>
      <c r="F14" s="27">
        <f>G14+O14+W14+AE14+BC14+BH14</f>
        <v>1015.1108478117563</v>
      </c>
      <c r="G14" s="12">
        <f>IF(COUNTIF(H14:INDEX(H14:N14,$B$1),"&gt;0")=0,0,
(SUMIF(H14:INDEX(H14:N14,$B$1),"&gt;0",H14:INDEX(H14:N14,$B$1))*$B$1/COUNTIF(H14:INDEX(H14:N14,$B$1),"&gt;0"))*
IF($B$1-COUNTIF(H14:INDEX(H14:N14,$B$1),"&gt;0")&lt;=2,1,
IF($B$1-COUNTIF(H14:INDEX(H14:N14,$B$1),"&gt;0")=3,0.8,
IF($B$1-COUNTIF(H14:INDEX(H14:N14,$B$1),"&gt;0")=4,0.6,0))))</f>
        <v>378.75</v>
      </c>
      <c r="H14" s="3">
        <v>68</v>
      </c>
      <c r="I14" s="3">
        <v>58</v>
      </c>
      <c r="J14" s="3">
        <v>98</v>
      </c>
      <c r="K14" s="3">
        <v>-1</v>
      </c>
      <c r="L14" s="3">
        <v>79</v>
      </c>
      <c r="M14" s="3"/>
      <c r="N14" s="3"/>
      <c r="O14" s="10">
        <f>0.2*IF(COUNTIF(P14:INDEX(P14:V14,$B$1),"&gt;0")=0,0,
(SUMIF(P14:INDEX(P14:V14,$B$1),"&gt;0",P14:INDEX(P14:V14,$B$1))*$B$1/COUNTIF(P14:INDEX(P14:V14,$B$1),"&gt;0"))*
IF($B$1-COUNTIF(P14:INDEX(P14:V14,$B$1),"&gt;0")&lt;=2,1,
IF($B$1-COUNTIF(P14:INDEX(P14:V14,$B$1),"&gt;0")=3,0.8,
IF($B$1-COUNTIF(P14:INDEX(P14:V14,$B$1),"&gt;0")=4,0.6,0))))</f>
        <v>57.666666666666664</v>
      </c>
      <c r="P14" s="3">
        <v>61</v>
      </c>
      <c r="Q14" s="3">
        <v>52</v>
      </c>
      <c r="R14" s="3">
        <v>-1</v>
      </c>
      <c r="S14" s="3">
        <v>-1</v>
      </c>
      <c r="T14" s="3">
        <v>60</v>
      </c>
      <c r="W14" s="3">
        <f>MIN(100,
IF($B$1&gt;=1,IFERROR(VALUE(SUBSTITUTE(SUBSTITUTE(TRIM(X14),"A",""),"B","")),0),0)+
IF($B$1&gt;=2,IFERROR(VALUE(SUBSTITUTE(SUBSTITUTE(TRIM(Y14),"A",""),"B","")),0),0)+
IF($B$1&gt;=3,IFERROR(VALUE(SUBSTITUTE(SUBSTITUTE(TRIM(Z14),"A",""),"B","")),0),0)+
IF($B$1&gt;=4,IFERROR(VALUE(SUBSTITUTE(SUBSTITUTE(TRIM(AA14),"A",""),"B","")),0),0)+
IF($B$1&gt;=5,IFERROR(VALUE(SUBSTITUTE(SUBSTITUTE(TRIM(AB14),"A",""),"B","")),0),0)+
IF($B$1&gt;=6,IFERROR(VALUE(SUBSTITUTE(SUBSTITUTE(TRIM(AC14),"A",""),"B","")),0),0)+
IF($B$1&gt;=7,IFERROR(VALUE(SUBSTITUTE(SUBSTITUTE(TRIM(AD14),"A",""),"B","")),0),0)
)</f>
        <v>60</v>
      </c>
      <c r="X14" s="3"/>
      <c r="Y14" s="3" t="s">
        <v>14</v>
      </c>
      <c r="Z14" s="3" t="s">
        <v>14</v>
      </c>
      <c r="AB14" s="3" t="s">
        <v>132</v>
      </c>
      <c r="AE14" s="19">
        <f>AH14+AK14+AN14+AQ14+AT14+AW14+AZ14</f>
        <v>151.64802227037183</v>
      </c>
      <c r="AG14" s="10">
        <f>SQRT(AF14)</f>
        <v>0</v>
      </c>
      <c r="AH14" s="10">
        <f>IF(AG14&gt;0,AG14/AG$6*1000, 0)</f>
        <v>0</v>
      </c>
      <c r="AI14" s="10"/>
      <c r="AJ14" s="10">
        <f>SQRT(AI14)</f>
        <v>0</v>
      </c>
      <c r="AK14" s="10">
        <f>IF(AJ14&gt;0,AJ14/AJ$6*1000, 0)</f>
        <v>0</v>
      </c>
      <c r="AL14" s="10">
        <v>5.3</v>
      </c>
      <c r="AM14" s="10">
        <f>SQRT(AL14)</f>
        <v>2.3021728866442674</v>
      </c>
      <c r="AN14" s="10">
        <f>IF(AM14&gt;0,AM14/AM$6*1000, 0)</f>
        <v>93.201467540847759</v>
      </c>
      <c r="AX14" s="17">
        <v>278</v>
      </c>
      <c r="AY14" s="10">
        <f>SQRT(AX14)</f>
        <v>16.673332000533065</v>
      </c>
      <c r="AZ14" s="21">
        <f>IF(AY14&gt;0, AY14/AY$6*1000, 0)</f>
        <v>58.446554729524074</v>
      </c>
      <c r="BA14" s="16">
        <v>1.48</v>
      </c>
      <c r="BB14" s="15">
        <f>SQRT(BA14)</f>
        <v>1.2165525060596438</v>
      </c>
      <c r="BC14" s="10">
        <f>IF(BB14&gt;0, BB14/BB$6*10000, 0)</f>
        <v>325.84765700205861</v>
      </c>
      <c r="BG14" s="17">
        <v>11</v>
      </c>
      <c r="BH14" s="40">
        <f>IF(BG14&gt;0, BG14/BG$6*2000, 0)</f>
        <v>41.198501872659172</v>
      </c>
      <c r="BJ14" s="17"/>
      <c r="BK14" s="3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2:85" ht="20.100000000000001" customHeight="1" x14ac:dyDescent="0.25">
      <c r="B15" s="1">
        <v>13</v>
      </c>
      <c r="C15" s="26">
        <v>9</v>
      </c>
      <c r="D15" s="1" t="str">
        <f>IF(C15&lt;B15,"▲"&amp;B15-C15,IF(C15&gt;B15,"▼"&amp;C15-B15,"—"))</f>
        <v>▲4</v>
      </c>
      <c r="E15" s="2" t="s">
        <v>27</v>
      </c>
      <c r="F15" s="27">
        <f>G15+O15+W15+AE15+BC15+BH15</f>
        <v>1001.9092037671223</v>
      </c>
      <c r="G15" s="12">
        <f>IF(COUNTIF(H15:INDEX(H15:N15,$B$1),"&gt;0")=0,0,
(SUMIF(H15:INDEX(H15:N15,$B$1),"&gt;0",H15:INDEX(H15:N15,$B$1))*$B$1/COUNTIF(H15:INDEX(H15:N15,$B$1),"&gt;0"))*
IF($B$1-COUNTIF(H15:INDEX(H15:N15,$B$1),"&gt;0")&lt;=2,1,
IF($B$1-COUNTIF(H15:INDEX(H15:N15,$B$1),"&gt;0")=3,0.8,
IF($B$1-COUNTIF(H15:INDEX(H15:N15,$B$1),"&gt;0")=4,0.6,0))))</f>
        <v>428</v>
      </c>
      <c r="H15" s="3">
        <v>62</v>
      </c>
      <c r="I15" s="3">
        <v>89</v>
      </c>
      <c r="J15" s="3">
        <v>63</v>
      </c>
      <c r="K15" s="3">
        <v>138</v>
      </c>
      <c r="L15" s="3">
        <v>76</v>
      </c>
      <c r="M15" s="3"/>
      <c r="N15" s="3"/>
      <c r="O15" s="10">
        <f>0.2*IF(COUNTIF(P15:INDEX(P15:V15,$B$1),"&gt;0")=0,0,
(SUMIF(P15:INDEX(P15:V15,$B$1),"&gt;0",P15:INDEX(P15:V15,$B$1))*$B$1/COUNTIF(P15:INDEX(P15:V15,$B$1),"&gt;0"))*
IF($B$1-COUNTIF(P15:INDEX(P15:V15,$B$1),"&gt;0")&lt;=2,1,
IF($B$1-COUNTIF(P15:INDEX(P15:V15,$B$1),"&gt;0")=3,0.8,
IF($B$1-COUNTIF(P15:INDEX(P15:V15,$B$1),"&gt;0")=4,0.6,0))))</f>
        <v>49.6</v>
      </c>
      <c r="P15" s="3">
        <v>52</v>
      </c>
      <c r="Q15" s="3">
        <v>45</v>
      </c>
      <c r="R15" s="3">
        <v>39</v>
      </c>
      <c r="S15" s="3">
        <v>54</v>
      </c>
      <c r="T15" s="3">
        <v>58</v>
      </c>
      <c r="W15" s="3">
        <f>MIN(100,
IF($B$1&gt;=1,IFERROR(VALUE(SUBSTITUTE(SUBSTITUTE(TRIM(X15),"A",""),"B","")),0),0)+
IF($B$1&gt;=2,IFERROR(VALUE(SUBSTITUTE(SUBSTITUTE(TRIM(Y15),"A",""),"B","")),0),0)+
IF($B$1&gt;=3,IFERROR(VALUE(SUBSTITUTE(SUBSTITUTE(TRIM(Z15),"A",""),"B","")),0),0)+
IF($B$1&gt;=4,IFERROR(VALUE(SUBSTITUTE(SUBSTITUTE(TRIM(AA15),"A",""),"B","")),0),0)+
IF($B$1&gt;=5,IFERROR(VALUE(SUBSTITUTE(SUBSTITUTE(TRIM(AB15),"A",""),"B","")),0),0)+
IF($B$1&gt;=6,IFERROR(VALUE(SUBSTITUTE(SUBSTITUTE(TRIM(AC15),"A",""),"B","")),0),0)+
IF($B$1&gt;=7,IFERROR(VALUE(SUBSTITUTE(SUBSTITUTE(TRIM(AD15),"A",""),"B","")),0),0)
)</f>
        <v>100</v>
      </c>
      <c r="X15" s="3" t="s">
        <v>17</v>
      </c>
      <c r="Y15" s="3" t="s">
        <v>17</v>
      </c>
      <c r="Z15" s="3" t="s">
        <v>17</v>
      </c>
      <c r="AA15" s="3" t="s">
        <v>134</v>
      </c>
      <c r="AB15" s="3" t="s">
        <v>134</v>
      </c>
      <c r="AE15" s="19">
        <f>AH15+AK15+AN15+AQ15+AT15+AW15+AZ15</f>
        <v>132.75582451556295</v>
      </c>
      <c r="AF15" s="10">
        <v>2.6</v>
      </c>
      <c r="AG15" s="10">
        <f>SQRT(AF15)</f>
        <v>1.61245154965971</v>
      </c>
      <c r="AH15" s="10">
        <f>IF(AG15&gt;0,AG15/AG$6*1000, 0)</f>
        <v>38.817285148014733</v>
      </c>
      <c r="AI15" s="10">
        <v>0.8</v>
      </c>
      <c r="AJ15" s="10">
        <f>SQRT(AI15)</f>
        <v>0.89442719099991586</v>
      </c>
      <c r="AK15" s="10">
        <f>IF(AJ15&gt;0,AJ15/AJ$6*1000, 0)</f>
        <v>25.246477797881543</v>
      </c>
      <c r="AL15" s="10">
        <v>1.1000000000000001</v>
      </c>
      <c r="AM15" s="10">
        <f>SQRT(AL15)</f>
        <v>1.0488088481701516</v>
      </c>
      <c r="AN15" s="10">
        <f>IF(AM15&gt;0,AM15/AM$6*1000, 0)</f>
        <v>42.460114262647366</v>
      </c>
      <c r="AX15" s="17">
        <v>56</v>
      </c>
      <c r="AY15" s="10">
        <f>SQRT(AX15)</f>
        <v>7.4833147735478827</v>
      </c>
      <c r="AZ15" s="21">
        <f>IF(AY15&gt;0, AY15/AY$6*1000, 0)</f>
        <v>26.231947307019318</v>
      </c>
      <c r="BA15" s="16">
        <v>0.9</v>
      </c>
      <c r="BB15" s="15">
        <f>SQRT(BA15)</f>
        <v>0.94868329805051377</v>
      </c>
      <c r="BC15" s="10">
        <f>IF(BB15&gt;0, BB15/BB$6*10000, 0)</f>
        <v>254.10019573096011</v>
      </c>
      <c r="BG15" s="17">
        <v>10</v>
      </c>
      <c r="BH15" s="40">
        <f>IF(BG15&gt;0, BG15/BG$6*2000, 0)</f>
        <v>37.453183520599254</v>
      </c>
      <c r="BJ15" s="17"/>
      <c r="BK15" s="3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2:85" ht="20.100000000000001" customHeight="1" x14ac:dyDescent="0.25">
      <c r="B16" s="1">
        <v>12</v>
      </c>
      <c r="C16" s="26">
        <v>10</v>
      </c>
      <c r="D16" s="1" t="str">
        <f>IF(C16&lt;B16,"▲"&amp;B16-C16,IF(C16&gt;B16,"▼"&amp;C16-B16,"—"))</f>
        <v>▲2</v>
      </c>
      <c r="E16" s="2" t="s">
        <v>26</v>
      </c>
      <c r="F16" s="27">
        <f>G16+O16+W16+AE16+BC16+BH16</f>
        <v>981.56643203392468</v>
      </c>
      <c r="G16" s="12">
        <f>IF(COUNTIF(H16:INDEX(H16:N16,$B$1),"&gt;0")=0,0,
(SUMIF(H16:INDEX(H16:N16,$B$1),"&gt;0",H16:INDEX(H16:N16,$B$1))*$B$1/COUNTIF(H16:INDEX(H16:N16,$B$1),"&gt;0"))*
IF($B$1-COUNTIF(H16:INDEX(H16:N16,$B$1),"&gt;0")&lt;=2,1,
IF($B$1-COUNTIF(H16:INDEX(H16:N16,$B$1),"&gt;0")=3,0.8,
IF($B$1-COUNTIF(H16:INDEX(H16:N16,$B$1),"&gt;0")=4,0.6,0))))</f>
        <v>388</v>
      </c>
      <c r="H16" s="3">
        <v>70</v>
      </c>
      <c r="I16" s="3">
        <v>68</v>
      </c>
      <c r="J16" s="3">
        <v>78</v>
      </c>
      <c r="K16" s="3">
        <v>108</v>
      </c>
      <c r="L16" s="3">
        <v>64</v>
      </c>
      <c r="M16" s="3"/>
      <c r="N16" s="3"/>
      <c r="O16" s="10">
        <f>0.2*IF(COUNTIF(P16:INDEX(P16:V16,$B$1),"&gt;0")=0,0,
(SUMIF(P16:INDEX(P16:V16,$B$1),"&gt;0",P16:INDEX(P16:V16,$B$1))*$B$1/COUNTIF(P16:INDEX(P16:V16,$B$1),"&gt;0"))*
IF($B$1-COUNTIF(P16:INDEX(P16:V16,$B$1),"&gt;0")&lt;=2,1,
IF($B$1-COUNTIF(P16:INDEX(P16:V16,$B$1),"&gt;0")=3,0.8,
IF($B$1-COUNTIF(P16:INDEX(P16:V16,$B$1),"&gt;0")=4,0.6,0))))</f>
        <v>45.800000000000004</v>
      </c>
      <c r="P16" s="3">
        <v>45</v>
      </c>
      <c r="Q16" s="3">
        <v>40</v>
      </c>
      <c r="R16" s="3">
        <v>47</v>
      </c>
      <c r="S16" s="3">
        <v>48</v>
      </c>
      <c r="T16" s="3">
        <v>49</v>
      </c>
      <c r="W16" s="3">
        <f>MIN(100,
IF($B$1&gt;=1,IFERROR(VALUE(SUBSTITUTE(SUBSTITUTE(TRIM(X16),"A",""),"B","")),0),0)+
IF($B$1&gt;=2,IFERROR(VALUE(SUBSTITUTE(SUBSTITUTE(TRIM(Y16),"A",""),"B","")),0),0)+
IF($B$1&gt;=3,IFERROR(VALUE(SUBSTITUTE(SUBSTITUTE(TRIM(Z16),"A",""),"B","")),0),0)+
IF($B$1&gt;=4,IFERROR(VALUE(SUBSTITUTE(SUBSTITUTE(TRIM(AA16),"A",""),"B","")),0),0)+
IF($B$1&gt;=5,IFERROR(VALUE(SUBSTITUTE(SUBSTITUTE(TRIM(AB16),"A",""),"B","")),0),0)+
IF($B$1&gt;=6,IFERROR(VALUE(SUBSTITUTE(SUBSTITUTE(TRIM(AC16),"A",""),"B","")),0),0)+
IF($B$1&gt;=7,IFERROR(VALUE(SUBSTITUTE(SUBSTITUTE(TRIM(AD16),"A",""),"B","")),0),0)
)</f>
        <v>100</v>
      </c>
      <c r="X16" s="3" t="s">
        <v>17</v>
      </c>
      <c r="Y16" s="3" t="s">
        <v>17</v>
      </c>
      <c r="Z16" s="3" t="s">
        <v>17</v>
      </c>
      <c r="AA16" s="3" t="s">
        <v>134</v>
      </c>
      <c r="AB16" s="3" t="s">
        <v>134</v>
      </c>
      <c r="AE16" s="19">
        <f>AH16+AK16+AN16+AQ16+AT16+AW16+AZ16</f>
        <v>113.23383861637633</v>
      </c>
      <c r="AF16" s="10">
        <v>1.8</v>
      </c>
      <c r="AG16" s="10">
        <f>SQRT(AF16)</f>
        <v>1.3416407864998738</v>
      </c>
      <c r="AH16" s="10">
        <f>IF(AG16&gt;0,AG16/AG$6*1000, 0)</f>
        <v>32.297933532801665</v>
      </c>
      <c r="AI16" s="10"/>
      <c r="AJ16" s="10">
        <f>SQRT(AI16)</f>
        <v>0</v>
      </c>
      <c r="AK16" s="10">
        <f>IF(AJ16&gt;0,AJ16/AJ$6*1000, 0)</f>
        <v>0</v>
      </c>
      <c r="AL16" s="10">
        <v>1.5</v>
      </c>
      <c r="AM16" s="10">
        <f>SQRT(AL16)</f>
        <v>1.2247448713915889</v>
      </c>
      <c r="AN16" s="10">
        <f>IF(AM16&gt;0,AM16/AM$6*1000, 0)</f>
        <v>49.582731183672884</v>
      </c>
      <c r="AX16" s="17">
        <v>80</v>
      </c>
      <c r="AY16" s="10">
        <f>SQRT(AX16)</f>
        <v>8.9442719099991592</v>
      </c>
      <c r="AZ16" s="21">
        <f>IF(AY16&gt;0, AY16/AY$6*1000, 0)</f>
        <v>31.35317389990179</v>
      </c>
      <c r="BA16" s="16">
        <v>1.08</v>
      </c>
      <c r="BB16" s="15">
        <f>SQRT(BA16)</f>
        <v>1.0392304845413265</v>
      </c>
      <c r="BC16" s="10">
        <f>IF(BB16&gt;0, BB16/BB$6*10000, 0)</f>
        <v>278.35281813664955</v>
      </c>
      <c r="BG16" s="17">
        <v>15</v>
      </c>
      <c r="BH16" s="40">
        <f>IF(BG16&gt;0, BG16/BG$6*2000, 0)</f>
        <v>56.179775280898873</v>
      </c>
      <c r="BJ16" s="17"/>
      <c r="BK16" s="3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ht="20.100000000000001" customHeight="1" x14ac:dyDescent="0.25">
      <c r="B17" s="1">
        <v>5</v>
      </c>
      <c r="C17" s="26">
        <v>11</v>
      </c>
      <c r="D17" s="1" t="str">
        <f>IF(C17&lt;B17,"▲"&amp;B17-C17,IF(C17&gt;B17,"▼"&amp;C17-B17,"—"))</f>
        <v>▼6</v>
      </c>
      <c r="E17" s="2" t="s">
        <v>19</v>
      </c>
      <c r="F17" s="27">
        <f>G17+O17+W17+AE17+BC17+BH17</f>
        <v>979.8862752392173</v>
      </c>
      <c r="G17" s="12">
        <f>IF(COUNTIF(H17:INDEX(H17:N17,$B$1),"&gt;0")=0,0,
(SUMIF(H17:INDEX(H17:N17,$B$1),"&gt;0",H17:INDEX(H17:N17,$B$1))*$B$1/COUNTIF(H17:INDEX(H17:N17,$B$1),"&gt;0"))*
IF($B$1-COUNTIF(H17:INDEX(H17:N17,$B$1),"&gt;0")&lt;=2,1,
IF($B$1-COUNTIF(H17:INDEX(H17:N17,$B$1),"&gt;0")=3,0.8,
IF($B$1-COUNTIF(H17:INDEX(H17:N17,$B$1),"&gt;0")=4,0.6,0))))</f>
        <v>474</v>
      </c>
      <c r="H17" s="3">
        <v>58</v>
      </c>
      <c r="I17" s="3">
        <v>85</v>
      </c>
      <c r="J17" s="3">
        <v>112</v>
      </c>
      <c r="K17" s="3">
        <v>137</v>
      </c>
      <c r="L17" s="3">
        <v>82</v>
      </c>
      <c r="M17" s="3"/>
      <c r="N17" s="3"/>
      <c r="O17" s="10">
        <f>0.2*IF(COUNTIF(P17:INDEX(P17:V17,$B$1),"&gt;0")=0,0,
(SUMIF(P17:INDEX(P17:V17,$B$1),"&gt;0",P17:INDEX(P17:V17,$B$1))*$B$1/COUNTIF(P17:INDEX(P17:V17,$B$1),"&gt;0"))*
IF($B$1-COUNTIF(P17:INDEX(P17:V17,$B$1),"&gt;0")&lt;=2,1,
IF($B$1-COUNTIF(P17:INDEX(P17:V17,$B$1),"&gt;0")=3,0.8,
IF($B$1-COUNTIF(P17:INDEX(P17:V17,$B$1),"&gt;0")=4,0.6,0))))</f>
        <v>49</v>
      </c>
      <c r="P17" s="3">
        <v>48</v>
      </c>
      <c r="Q17" s="3">
        <v>44</v>
      </c>
      <c r="R17" s="3">
        <v>50</v>
      </c>
      <c r="S17" s="3">
        <v>50</v>
      </c>
      <c r="T17" s="3">
        <v>53</v>
      </c>
      <c r="W17" s="3">
        <f>MIN(100,
IF($B$1&gt;=1,IFERROR(VALUE(SUBSTITUTE(SUBSTITUTE(TRIM(X17),"A",""),"B","")),0),0)+
IF($B$1&gt;=2,IFERROR(VALUE(SUBSTITUTE(SUBSTITUTE(TRIM(Y17),"A",""),"B","")),0),0)+
IF($B$1&gt;=3,IFERROR(VALUE(SUBSTITUTE(SUBSTITUTE(TRIM(Z17),"A",""),"B","")),0),0)+
IF($B$1&gt;=4,IFERROR(VALUE(SUBSTITUTE(SUBSTITUTE(TRIM(AA17),"A",""),"B","")),0),0)+
IF($B$1&gt;=5,IFERROR(VALUE(SUBSTITUTE(SUBSTITUTE(TRIM(AB17),"A",""),"B","")),0),0)+
IF($B$1&gt;=6,IFERROR(VALUE(SUBSTITUTE(SUBSTITUTE(TRIM(AC17),"A",""),"B","")),0),0)+
IF($B$1&gt;=7,IFERROR(VALUE(SUBSTITUTE(SUBSTITUTE(TRIM(AD17),"A",""),"B","")),0),0)
)</f>
        <v>100</v>
      </c>
      <c r="X17" s="3" t="s">
        <v>14</v>
      </c>
      <c r="Y17" s="3" t="s">
        <v>14</v>
      </c>
      <c r="Z17" s="3" t="s">
        <v>14</v>
      </c>
      <c r="AA17" s="3" t="s">
        <v>132</v>
      </c>
      <c r="AB17" s="3" t="s">
        <v>132</v>
      </c>
      <c r="AE17" s="19">
        <f>AH17+AK17+AN17+AQ17+AT17+AW17+AZ17</f>
        <v>173.04886009455944</v>
      </c>
      <c r="AF17" s="10">
        <v>4.5999999999999996</v>
      </c>
      <c r="AG17" s="10">
        <f>SQRT(AF17)</f>
        <v>2.1447610589527217</v>
      </c>
      <c r="AH17" s="10">
        <f>IF(AG17&gt;0,AG17/AG$6*1000, 0)</f>
        <v>51.631815924823059</v>
      </c>
      <c r="AI17" s="10">
        <v>2.4</v>
      </c>
      <c r="AJ17" s="10">
        <f>SQRT(AI17)</f>
        <v>1.5491933384829668</v>
      </c>
      <c r="AK17" s="10">
        <f>IF(AJ17&gt;0,AJ17/AJ$6*1000, 0)</f>
        <v>43.728182258090456</v>
      </c>
      <c r="AL17" s="10">
        <v>1.1000000000000001</v>
      </c>
      <c r="AM17" s="10">
        <f>SQRT(AL17)</f>
        <v>1.0488088481701516</v>
      </c>
      <c r="AN17" s="10">
        <f>IF(AM17&gt;0,AM17/AM$6*1000, 0)</f>
        <v>42.460114262647366</v>
      </c>
      <c r="AX17" s="17">
        <v>101</v>
      </c>
      <c r="AY17" s="10">
        <f>SQRT(AX17)</f>
        <v>10.04987562112089</v>
      </c>
      <c r="AZ17" s="21">
        <f>IF(AY17&gt;0, AY17/AY$6*1000, 0)</f>
        <v>35.228747648998571</v>
      </c>
      <c r="BA17" s="16">
        <v>0.38</v>
      </c>
      <c r="BB17" s="15">
        <f>SQRT(BA17)</f>
        <v>0.61644140029689765</v>
      </c>
      <c r="BC17" s="10">
        <f>IF(BB17&gt;0, BB17/BB$6*10000, 0)</f>
        <v>165.11082338435818</v>
      </c>
      <c r="BG17" s="17">
        <v>5</v>
      </c>
      <c r="BH17" s="40">
        <f>IF(BG17&gt;0, BG17/BG$6*2000, 0)</f>
        <v>18.726591760299627</v>
      </c>
      <c r="BJ17" s="17"/>
      <c r="BK17" s="3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ht="20.100000000000001" customHeight="1" x14ac:dyDescent="0.25">
      <c r="B18" s="1">
        <v>2</v>
      </c>
      <c r="C18" s="26">
        <v>12</v>
      </c>
      <c r="D18" s="1" t="str">
        <f>IF(C18&lt;B18,"▲"&amp;B18-C18,IF(C18&gt;B18,"▼"&amp;C18-B18,"—"))</f>
        <v>▼10</v>
      </c>
      <c r="E18" s="2" t="s">
        <v>15</v>
      </c>
      <c r="F18" s="27">
        <f>G18+O18+W18+AE18+BC18+BH18</f>
        <v>976.08566671902804</v>
      </c>
      <c r="G18" s="12">
        <f>IF(COUNTIF(H18:INDEX(H18:N18,$B$1),"&gt;0")=0,0,
(SUMIF(H18:INDEX(H18:N18,$B$1),"&gt;0",H18:INDEX(H18:N18,$B$1))*$B$1/COUNTIF(H18:INDEX(H18:N18,$B$1),"&gt;0"))*
IF($B$1-COUNTIF(H18:INDEX(H18:N18,$B$1),"&gt;0")&lt;=2,1,
IF($B$1-COUNTIF(H18:INDEX(H18:N18,$B$1),"&gt;0")=3,0.8,
IF($B$1-COUNTIF(H18:INDEX(H18:N18,$B$1),"&gt;0")=4,0.6,0))))</f>
        <v>475</v>
      </c>
      <c r="H18" s="3">
        <v>80</v>
      </c>
      <c r="I18" s="3">
        <v>118</v>
      </c>
      <c r="J18" s="3">
        <v>105</v>
      </c>
      <c r="K18" s="3">
        <v>92</v>
      </c>
      <c r="L18" s="3">
        <v>80</v>
      </c>
      <c r="M18" s="3"/>
      <c r="N18" s="3"/>
      <c r="O18" s="10">
        <f>0.2*IF(COUNTIF(P18:INDEX(P18:V18,$B$1),"&gt;0")=0,0,
(SUMIF(P18:INDEX(P18:V18,$B$1),"&gt;0",P18:INDEX(P18:V18,$B$1))*$B$1/COUNTIF(P18:INDEX(P18:V18,$B$1),"&gt;0"))*
IF($B$1-COUNTIF(P18:INDEX(P18:V18,$B$1),"&gt;0")&lt;=2,1,
IF($B$1-COUNTIF(P18:INDEX(P18:V18,$B$1),"&gt;0")=3,0.8,
IF($B$1-COUNTIF(P18:INDEX(P18:V18,$B$1),"&gt;0")=4,0.6,0))))</f>
        <v>47.400000000000006</v>
      </c>
      <c r="P18" s="3">
        <v>56</v>
      </c>
      <c r="Q18" s="3">
        <v>47</v>
      </c>
      <c r="R18" s="3">
        <v>56</v>
      </c>
      <c r="S18" s="3">
        <v>25</v>
      </c>
      <c r="T18" s="3">
        <v>53</v>
      </c>
      <c r="W18" s="3">
        <f>MIN(100,
IF($B$1&gt;=1,IFERROR(VALUE(SUBSTITUTE(SUBSTITUTE(TRIM(X18),"A",""),"B","")),0),0)+
IF($B$1&gt;=2,IFERROR(VALUE(SUBSTITUTE(SUBSTITUTE(TRIM(Y18),"A",""),"B","")),0),0)+
IF($B$1&gt;=3,IFERROR(VALUE(SUBSTITUTE(SUBSTITUTE(TRIM(Z18),"A",""),"B","")),0),0)+
IF($B$1&gt;=4,IFERROR(VALUE(SUBSTITUTE(SUBSTITUTE(TRIM(AA18),"A",""),"B","")),0),0)+
IF($B$1&gt;=5,IFERROR(VALUE(SUBSTITUTE(SUBSTITUTE(TRIM(AB18),"A",""),"B","")),0),0)+
IF($B$1&gt;=6,IFERROR(VALUE(SUBSTITUTE(SUBSTITUTE(TRIM(AC18),"A",""),"B","")),0),0)+
IF($B$1&gt;=7,IFERROR(VALUE(SUBSTITUTE(SUBSTITUTE(TRIM(AD18),"A",""),"B","")),0),0)
)</f>
        <v>80</v>
      </c>
      <c r="X18" s="3" t="s">
        <v>14</v>
      </c>
      <c r="Y18" s="3" t="s">
        <v>14</v>
      </c>
      <c r="Z18" s="3" t="s">
        <v>14</v>
      </c>
      <c r="AB18" s="3" t="s">
        <v>132</v>
      </c>
      <c r="AE18" s="19">
        <f>AH18+AK18+AN18+AQ18+AT18+AW18+AZ18</f>
        <v>125.33102155311298</v>
      </c>
      <c r="AF18" s="10">
        <v>2.5</v>
      </c>
      <c r="AG18" s="10">
        <f>SQRT(AF18)</f>
        <v>1.5811388300841898</v>
      </c>
      <c r="AH18" s="10">
        <f>IF(AG18&gt;0,AG18/AG$6*1000, 0)</f>
        <v>38.063479698927409</v>
      </c>
      <c r="AI18" s="10">
        <v>1.2</v>
      </c>
      <c r="AJ18" s="10">
        <f>SQRT(AI18)</f>
        <v>1.0954451150103321</v>
      </c>
      <c r="AK18" s="10">
        <f>IF(AJ18&gt;0,AJ18/AJ$6*1000, 0)</f>
        <v>30.920494203657036</v>
      </c>
      <c r="AL18" s="10">
        <v>0.8</v>
      </c>
      <c r="AM18" s="10">
        <f>SQRT(AL18)</f>
        <v>0.89442719099991586</v>
      </c>
      <c r="AN18" s="10">
        <f>IF(AM18&gt;0,AM18/AM$6*1000, 0)</f>
        <v>36.210107109349956</v>
      </c>
      <c r="AX18" s="17">
        <v>33</v>
      </c>
      <c r="AY18" s="10">
        <f>SQRT(AX18)</f>
        <v>5.7445626465380286</v>
      </c>
      <c r="AZ18" s="21">
        <f>IF(AY18&gt;0, AY18/AY$6*1000, 0)</f>
        <v>20.136940541178582</v>
      </c>
      <c r="BA18" s="16">
        <v>0.62</v>
      </c>
      <c r="BB18" s="15">
        <f>SQRT(BA18)</f>
        <v>0.78740078740118113</v>
      </c>
      <c r="BC18" s="10">
        <f>IF(BB18&gt;0, BB18/BB$6*10000, 0)</f>
        <v>210.90146164531589</v>
      </c>
      <c r="BG18" s="17">
        <v>10</v>
      </c>
      <c r="BH18" s="40">
        <f>IF(BG18&gt;0, BG18/BG$6*2000, 0)</f>
        <v>37.453183520599254</v>
      </c>
      <c r="BJ18" s="17"/>
      <c r="BK18" s="3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ht="20.100000000000001" customHeight="1" x14ac:dyDescent="0.25">
      <c r="B19" s="1">
        <v>6</v>
      </c>
      <c r="C19" s="26">
        <v>13</v>
      </c>
      <c r="D19" s="1" t="str">
        <f>IF(C19&lt;B19,"▲"&amp;B19-C19,IF(C19&gt;B19,"▼"&amp;C19-B19,"—"))</f>
        <v>▼7</v>
      </c>
      <c r="E19" s="2" t="s">
        <v>20</v>
      </c>
      <c r="F19" s="27">
        <f>G19+O19+W19+AE19+BC19+BH19</f>
        <v>952.52361261001022</v>
      </c>
      <c r="G19" s="12">
        <f>IF(COUNTIF(H19:INDEX(H19:N19,$B$1),"&gt;0")=0,0,
(SUMIF(H19:INDEX(H19:N19,$B$1),"&gt;0",H19:INDEX(H19:N19,$B$1))*$B$1/COUNTIF(H19:INDEX(H19:N19,$B$1),"&gt;0"))*
IF($B$1-COUNTIF(H19:INDEX(H19:N19,$B$1),"&gt;0")&lt;=2,1,
IF($B$1-COUNTIF(H19:INDEX(H19:N19,$B$1),"&gt;0")=3,0.8,
IF($B$1-COUNTIF(H19:INDEX(H19:N19,$B$1),"&gt;0")=4,0.6,0))))</f>
        <v>424</v>
      </c>
      <c r="H19" s="3">
        <v>94</v>
      </c>
      <c r="I19" s="3">
        <v>63</v>
      </c>
      <c r="J19" s="3">
        <v>73</v>
      </c>
      <c r="K19" s="3">
        <v>115</v>
      </c>
      <c r="L19" s="3">
        <v>79</v>
      </c>
      <c r="M19" s="3"/>
      <c r="N19" s="3"/>
      <c r="O19" s="10">
        <f>0.2*IF(COUNTIF(P19:INDEX(P19:V19,$B$1),"&gt;0")=0,0,
(SUMIF(P19:INDEX(P19:V19,$B$1),"&gt;0",P19:INDEX(P19:V19,$B$1))*$B$1/COUNTIF(P19:INDEX(P19:V19,$B$1),"&gt;0"))*
IF($B$1-COUNTIF(P19:INDEX(P19:V19,$B$1),"&gt;0")&lt;=2,1,
IF($B$1-COUNTIF(P19:INDEX(P19:V19,$B$1),"&gt;0")=3,0.8,
IF($B$1-COUNTIF(P19:INDEX(P19:V19,$B$1),"&gt;0")=4,0.6,0))))</f>
        <v>61</v>
      </c>
      <c r="P19" s="3">
        <v>58</v>
      </c>
      <c r="Q19" s="3">
        <v>53</v>
      </c>
      <c r="R19" s="3">
        <v>65</v>
      </c>
      <c r="S19" s="3">
        <v>64</v>
      </c>
      <c r="T19" s="3">
        <v>65</v>
      </c>
      <c r="W19" s="3">
        <f>MIN(100,
IF($B$1&gt;=1,IFERROR(VALUE(SUBSTITUTE(SUBSTITUTE(TRIM(X19),"A",""),"B","")),0),0)+
IF($B$1&gt;=2,IFERROR(VALUE(SUBSTITUTE(SUBSTITUTE(TRIM(Y19),"A",""),"B","")),0),0)+
IF($B$1&gt;=3,IFERROR(VALUE(SUBSTITUTE(SUBSTITUTE(TRIM(Z19),"A",""),"B","")),0),0)+
IF($B$1&gt;=4,IFERROR(VALUE(SUBSTITUTE(SUBSTITUTE(TRIM(AA19),"A",""),"B","")),0),0)+
IF($B$1&gt;=5,IFERROR(VALUE(SUBSTITUTE(SUBSTITUTE(TRIM(AB19),"A",""),"B","")),0),0)+
IF($B$1&gt;=6,IFERROR(VALUE(SUBSTITUTE(SUBSTITUTE(TRIM(AC19),"A",""),"B","")),0),0)+
IF($B$1&gt;=7,IFERROR(VALUE(SUBSTITUTE(SUBSTITUTE(TRIM(AD19),"A",""),"B","")),0),0)
)</f>
        <v>100</v>
      </c>
      <c r="X19" s="3" t="s">
        <v>14</v>
      </c>
      <c r="Y19" s="3" t="s">
        <v>14</v>
      </c>
      <c r="Z19" s="3" t="s">
        <v>14</v>
      </c>
      <c r="AA19" s="3" t="s">
        <v>132</v>
      </c>
      <c r="AB19" s="3" t="s">
        <v>132</v>
      </c>
      <c r="AE19" s="19">
        <f>AH19+AK19+AN19+AQ19+AT19+AW19+AZ19</f>
        <v>127.58559868435194</v>
      </c>
      <c r="AF19" s="10">
        <v>1.5</v>
      </c>
      <c r="AG19" s="10">
        <f>SQRT(AF19)</f>
        <v>1.2247448713915889</v>
      </c>
      <c r="AH19" s="10">
        <f>IF(AG19&gt;0,AG19/AG$6*1000, 0)</f>
        <v>29.483844594529984</v>
      </c>
      <c r="AI19" s="10">
        <v>0.8</v>
      </c>
      <c r="AJ19" s="10">
        <f>SQRT(AI19)</f>
        <v>0.89442719099991586</v>
      </c>
      <c r="AK19" s="10">
        <f>IF(AJ19&gt;0,AJ19/AJ$6*1000, 0)</f>
        <v>25.246477797881543</v>
      </c>
      <c r="AL19" s="10">
        <v>1.3</v>
      </c>
      <c r="AM19" s="10">
        <f>SQRT(AL19)</f>
        <v>1.1401754250991381</v>
      </c>
      <c r="AN19" s="10">
        <f>IF(AM19&gt;0,AM19/AM$6*1000, 0)</f>
        <v>46.159010684965068</v>
      </c>
      <c r="AX19" s="17">
        <v>58</v>
      </c>
      <c r="AY19" s="10">
        <f>SQRT(AX19)</f>
        <v>7.6157731058639087</v>
      </c>
      <c r="AZ19" s="21">
        <f>IF(AY19&gt;0, AY19/AY$6*1000, 0)</f>
        <v>26.696265606975352</v>
      </c>
      <c r="BA19" s="16">
        <v>0.53</v>
      </c>
      <c r="BB19" s="15">
        <f>SQRT(BA19)</f>
        <v>0.72801098892805183</v>
      </c>
      <c r="BC19" s="10">
        <f>IF(BB19&gt;0, BB19/BB$6*10000, 0)</f>
        <v>194.99419370093929</v>
      </c>
      <c r="BG19" s="17">
        <v>12</v>
      </c>
      <c r="BH19" s="40">
        <f>IF(BG19&gt;0, BG19/BG$6*2000, 0)</f>
        <v>44.943820224719097</v>
      </c>
      <c r="BJ19" s="17"/>
      <c r="BK19" s="3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20.100000000000001" customHeight="1" x14ac:dyDescent="0.25">
      <c r="B20" s="1">
        <v>4</v>
      </c>
      <c r="C20" s="26">
        <v>14</v>
      </c>
      <c r="D20" s="1" t="str">
        <f>IF(C20&lt;B20,"▲"&amp;B20-C20,IF(C20&gt;B20,"▼"&amp;C20-B20,"—"))</f>
        <v>▼10</v>
      </c>
      <c r="E20" s="2" t="s">
        <v>18</v>
      </c>
      <c r="F20" s="27">
        <f>G20+O20+W20+AE20+BC20+BH20</f>
        <v>952.14766456359212</v>
      </c>
      <c r="G20" s="12">
        <f>IF(COUNTIF(H20:INDEX(H20:N20,$B$1),"&gt;0")=0,0,
(SUMIF(H20:INDEX(H20:N20,$B$1),"&gt;0",H20:INDEX(H20:N20,$B$1))*$B$1/COUNTIF(H20:INDEX(H20:N20,$B$1),"&gt;0"))*
IF($B$1-COUNTIF(H20:INDEX(H20:N20,$B$1),"&gt;0")&lt;=2,1,
IF($B$1-COUNTIF(H20:INDEX(H20:N20,$B$1),"&gt;0")=3,0.8,
IF($B$1-COUNTIF(H20:INDEX(H20:N20,$B$1),"&gt;0")=4,0.6,0))))</f>
        <v>466</v>
      </c>
      <c r="H20" s="3">
        <v>78</v>
      </c>
      <c r="I20" s="3">
        <v>98</v>
      </c>
      <c r="J20" s="3">
        <v>81</v>
      </c>
      <c r="K20" s="3">
        <v>104</v>
      </c>
      <c r="L20" s="3">
        <v>105</v>
      </c>
      <c r="M20" s="3"/>
      <c r="N20" s="3"/>
      <c r="O20" s="10">
        <f>0.2*IF(COUNTIF(P20:INDEX(P20:V20,$B$1),"&gt;0")=0,0,
(SUMIF(P20:INDEX(P20:V20,$B$1),"&gt;0",P20:INDEX(P20:V20,$B$1))*$B$1/COUNTIF(P20:INDEX(P20:V20,$B$1),"&gt;0"))*
IF($B$1-COUNTIF(P20:INDEX(P20:V20,$B$1),"&gt;0")&lt;=2,1,
IF($B$1-COUNTIF(P20:INDEX(P20:V20,$B$1),"&gt;0")=3,0.8,
IF($B$1-COUNTIF(P20:INDEX(P20:V20,$B$1),"&gt;0")=4,0.6,0))))</f>
        <v>46</v>
      </c>
      <c r="P20" s="3">
        <v>48</v>
      </c>
      <c r="Q20" s="3">
        <v>41</v>
      </c>
      <c r="R20" s="3">
        <v>46</v>
      </c>
      <c r="S20" s="3">
        <v>48</v>
      </c>
      <c r="T20" s="3">
        <v>47</v>
      </c>
      <c r="W20" s="3">
        <f>MIN(100,
IF($B$1&gt;=1,IFERROR(VALUE(SUBSTITUTE(SUBSTITUTE(TRIM(X20),"A",""),"B","")),0),0)+
IF($B$1&gt;=2,IFERROR(VALUE(SUBSTITUTE(SUBSTITUTE(TRIM(Y20),"A",""),"B","")),0),0)+
IF($B$1&gt;=3,IFERROR(VALUE(SUBSTITUTE(SUBSTITUTE(TRIM(Z20),"A",""),"B","")),0),0)+
IF($B$1&gt;=4,IFERROR(VALUE(SUBSTITUTE(SUBSTITUTE(TRIM(AA20),"A",""),"B","")),0),0)+
IF($B$1&gt;=5,IFERROR(VALUE(SUBSTITUTE(SUBSTITUTE(TRIM(AB20),"A",""),"B","")),0),0)+
IF($B$1&gt;=6,IFERROR(VALUE(SUBSTITUTE(SUBSTITUTE(TRIM(AC20),"A",""),"B","")),0),0)+
IF($B$1&gt;=7,IFERROR(VALUE(SUBSTITUTE(SUBSTITUTE(TRIM(AD20),"A",""),"B","")),0),0)
)</f>
        <v>100</v>
      </c>
      <c r="X20" s="3" t="s">
        <v>17</v>
      </c>
      <c r="Y20" s="3" t="s">
        <v>17</v>
      </c>
      <c r="Z20" s="3" t="s">
        <v>17</v>
      </c>
      <c r="AA20" s="3" t="s">
        <v>134</v>
      </c>
      <c r="AB20" s="3" t="s">
        <v>134</v>
      </c>
      <c r="AE20" s="19">
        <f>AH20+AK20+AN20+AQ20+AT20+AW20+AZ20</f>
        <v>125.80371385156636</v>
      </c>
      <c r="AF20" s="10">
        <v>5.6</v>
      </c>
      <c r="AG20" s="10">
        <f>SQRT(AF20)</f>
        <v>2.3664319132398464</v>
      </c>
      <c r="AH20" s="10">
        <f>IF(AG20&gt;0,AG20/AG$6*1000, 0)</f>
        <v>56.968199992724664</v>
      </c>
      <c r="AI20" s="10">
        <v>3.6</v>
      </c>
      <c r="AJ20" s="10">
        <f>SQRT(AI20)</f>
        <v>1.8973665961010275</v>
      </c>
      <c r="AK20" s="10">
        <f>IF(AJ20&gt;0,AJ20/AJ$6*1000, 0)</f>
        <v>53.555866955872958</v>
      </c>
      <c r="AM20" s="10">
        <f>SQRT(AL20)</f>
        <v>0</v>
      </c>
      <c r="AN20" s="10">
        <f>IF(AM20&gt;0,AM20/AM$6*1000, 0)</f>
        <v>0</v>
      </c>
      <c r="AX20" s="17">
        <v>19</v>
      </c>
      <c r="AY20" s="10">
        <f>SQRT(AX20)</f>
        <v>4.358898943540674</v>
      </c>
      <c r="AZ20" s="21">
        <f>IF(AY20&gt;0, AY20/AY$6*1000, 0)</f>
        <v>15.279646902968741</v>
      </c>
      <c r="BA20" s="16">
        <v>0.4</v>
      </c>
      <c r="BB20" s="15">
        <f>SQRT(BA20)</f>
        <v>0.63245553203367588</v>
      </c>
      <c r="BC20" s="10">
        <f>IF(BB20&gt;0, BB20/BB$6*10000, 0)</f>
        <v>169.40013048730674</v>
      </c>
      <c r="BG20" s="17">
        <v>12</v>
      </c>
      <c r="BH20" s="40">
        <f>IF(BG20&gt;0, BG20/BG$6*2000, 0)</f>
        <v>44.943820224719097</v>
      </c>
      <c r="BJ20" s="17"/>
      <c r="BK20" s="3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ht="20.100000000000001" customHeight="1" x14ac:dyDescent="0.25">
      <c r="B21" s="1">
        <v>20</v>
      </c>
      <c r="C21" s="26">
        <v>15</v>
      </c>
      <c r="D21" s="1" t="str">
        <f>IF(C21&lt;B21,"▲"&amp;B21-C21,IF(C21&gt;B21,"▼"&amp;C21-B21,"—"))</f>
        <v>▲5</v>
      </c>
      <c r="E21" s="2" t="s">
        <v>35</v>
      </c>
      <c r="F21" s="27">
        <f>G21+O21+W21+AE21+BC21+BH21</f>
        <v>873.56577353614443</v>
      </c>
      <c r="G21" s="12">
        <f>IF(COUNTIF(H21:INDEX(H21:N21,$B$1),"&gt;0")=0,0,
(SUMIF(H21:INDEX(H21:N21,$B$1),"&gt;0",H21:INDEX(H21:N21,$B$1))*$B$1/COUNTIF(H21:INDEX(H21:N21,$B$1),"&gt;0"))*
IF($B$1-COUNTIF(H21:INDEX(H21:N21,$B$1),"&gt;0")&lt;=2,1,
IF($B$1-COUNTIF(H21:INDEX(H21:N21,$B$1),"&gt;0")=3,0.8,
IF($B$1-COUNTIF(H21:INDEX(H21:N21,$B$1),"&gt;0")=4,0.6,0))))</f>
        <v>466</v>
      </c>
      <c r="H21" s="3">
        <v>65</v>
      </c>
      <c r="I21" s="3">
        <v>63</v>
      </c>
      <c r="J21" s="3">
        <v>117</v>
      </c>
      <c r="K21" s="3">
        <v>135</v>
      </c>
      <c r="L21" s="3">
        <v>86</v>
      </c>
      <c r="M21" s="3"/>
      <c r="N21" s="3"/>
      <c r="O21" s="10">
        <f>0.2*IF(COUNTIF(P21:INDEX(P21:V21,$B$1),"&gt;0")=0,0,
(SUMIF(P21:INDEX(P21:V21,$B$1),"&gt;0",P21:INDEX(P21:V21,$B$1))*$B$1/COUNTIF(P21:INDEX(P21:V21,$B$1),"&gt;0"))*
IF($B$1-COUNTIF(P21:INDEX(P21:V21,$B$1),"&gt;0")&lt;=2,1,
IF($B$1-COUNTIF(P21:INDEX(P21:V21,$B$1),"&gt;0")=3,0.8,
IF($B$1-COUNTIF(P21:INDEX(P21:V21,$B$1),"&gt;0")=4,0.6,0))))</f>
        <v>50.800000000000004</v>
      </c>
      <c r="P21" s="3">
        <v>52</v>
      </c>
      <c r="Q21" s="3">
        <v>47</v>
      </c>
      <c r="R21" s="3">
        <v>51</v>
      </c>
      <c r="S21" s="3">
        <v>56</v>
      </c>
      <c r="T21" s="3">
        <v>48</v>
      </c>
      <c r="W21" s="3">
        <f>MIN(100,
IF($B$1&gt;=1,IFERROR(VALUE(SUBSTITUTE(SUBSTITUTE(TRIM(X21),"A",""),"B","")),0),0)+
IF($B$1&gt;=2,IFERROR(VALUE(SUBSTITUTE(SUBSTITUTE(TRIM(Y21),"A",""),"B","")),0),0)+
IF($B$1&gt;=3,IFERROR(VALUE(SUBSTITUTE(SUBSTITUTE(TRIM(Z21),"A",""),"B","")),0),0)+
IF($B$1&gt;=4,IFERROR(VALUE(SUBSTITUTE(SUBSTITUTE(TRIM(AA21),"A",""),"B","")),0),0)+
IF($B$1&gt;=5,IFERROR(VALUE(SUBSTITUTE(SUBSTITUTE(TRIM(AB21),"A",""),"B","")),0),0)+
IF($B$1&gt;=6,IFERROR(VALUE(SUBSTITUTE(SUBSTITUTE(TRIM(AC21),"A",""),"B","")),0),0)+
IF($B$1&gt;=7,IFERROR(VALUE(SUBSTITUTE(SUBSTITUTE(TRIM(AD21),"A",""),"B","")),0),0)
)</f>
        <v>40</v>
      </c>
      <c r="X21" s="3"/>
      <c r="AA21" s="3" t="s">
        <v>134</v>
      </c>
      <c r="AB21" s="3" t="s">
        <v>134</v>
      </c>
      <c r="AE21" s="19">
        <f>AH21+AK21+AN21+AQ21+AT21+AW21+AZ21</f>
        <v>122.69209961986806</v>
      </c>
      <c r="AF21" s="10">
        <v>5.5</v>
      </c>
      <c r="AG21" s="10">
        <f>SQRT(AF21)</f>
        <v>2.3452078799117149</v>
      </c>
      <c r="AH21" s="10">
        <f>IF(AG21&gt;0,AG21/AG$6*1000, 0)</f>
        <v>56.457264111356373</v>
      </c>
      <c r="AI21" s="10"/>
      <c r="AJ21" s="10">
        <f>SQRT(AI21)</f>
        <v>0</v>
      </c>
      <c r="AK21" s="10">
        <f>IF(AJ21&gt;0,AJ21/AJ$6*1000, 0)</f>
        <v>0</v>
      </c>
      <c r="AL21" s="10">
        <v>1.1000000000000001</v>
      </c>
      <c r="AM21" s="10">
        <f>SQRT(AL21)</f>
        <v>1.0488088481701516</v>
      </c>
      <c r="AN21" s="10">
        <f>IF(AM21&gt;0,AM21/AM$6*1000, 0)</f>
        <v>42.460114262647366</v>
      </c>
      <c r="AX21" s="17">
        <v>46</v>
      </c>
      <c r="AY21" s="10">
        <f>SQRT(AX21)</f>
        <v>6.7823299831252681</v>
      </c>
      <c r="AZ21" s="21">
        <f>IF(AY21&gt;0, AY21/AY$6*1000, 0)</f>
        <v>23.774721245864328</v>
      </c>
      <c r="BA21" s="16">
        <v>0.31</v>
      </c>
      <c r="BB21" s="15">
        <f>SQRT(BA21)</f>
        <v>0.55677643628300222</v>
      </c>
      <c r="BC21" s="10">
        <f>IF(BB21&gt;0, BB21/BB$6*10000, 0)</f>
        <v>149.12985369155743</v>
      </c>
      <c r="BG21" s="17">
        <v>12</v>
      </c>
      <c r="BH21" s="40">
        <f>IF(BG21&gt;0, BG21/BG$6*2000, 0)</f>
        <v>44.943820224719097</v>
      </c>
      <c r="BJ21" s="17"/>
      <c r="BK21" s="3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20.100000000000001" customHeight="1" x14ac:dyDescent="0.25">
      <c r="B22" s="1">
        <v>25</v>
      </c>
      <c r="C22" s="26">
        <v>16</v>
      </c>
      <c r="D22" s="1" t="str">
        <f>IF(C22&lt;B22,"▲"&amp;B22-C22,IF(C22&gt;B22,"▼"&amp;C22-B22,"—"))</f>
        <v>▲9</v>
      </c>
      <c r="E22" s="2" t="s">
        <v>40</v>
      </c>
      <c r="F22" s="27">
        <f>G22+O22+W22+AE22+BC22+BH22</f>
        <v>780.24203346052195</v>
      </c>
      <c r="G22" s="12">
        <f>IF(COUNTIF(H22:INDEX(H22:N22,$B$1),"&gt;0")=0,0,
(SUMIF(H22:INDEX(H22:N22,$B$1),"&gt;0",H22:INDEX(H22:N22,$B$1))*$B$1/COUNTIF(H22:INDEX(H22:N22,$B$1),"&gt;0"))*
IF($B$1-COUNTIF(H22:INDEX(H22:N22,$B$1),"&gt;0")&lt;=2,1,
IF($B$1-COUNTIF(H22:INDEX(H22:N22,$B$1),"&gt;0")=3,0.8,
IF($B$1-COUNTIF(H22:INDEX(H22:N22,$B$1),"&gt;0")=4,0.6,0))))</f>
        <v>401</v>
      </c>
      <c r="H22" s="3">
        <v>58</v>
      </c>
      <c r="I22" s="3">
        <v>70</v>
      </c>
      <c r="J22" s="3">
        <v>49</v>
      </c>
      <c r="K22" s="3">
        <v>148</v>
      </c>
      <c r="L22" s="3">
        <v>76</v>
      </c>
      <c r="M22" s="3"/>
      <c r="N22" s="3"/>
      <c r="O22" s="10">
        <f>0.2*IF(COUNTIF(P22:INDEX(P22:V22,$B$1),"&gt;0")=0,0,
(SUMIF(P22:INDEX(P22:V22,$B$1),"&gt;0",P22:INDEX(P22:V22,$B$1))*$B$1/COUNTIF(P22:INDEX(P22:V22,$B$1),"&gt;0"))*
IF($B$1-COUNTIF(P22:INDEX(P22:V22,$B$1),"&gt;0")&lt;=2,1,
IF($B$1-COUNTIF(P22:INDEX(P22:V22,$B$1),"&gt;0")=3,0.8,
IF($B$1-COUNTIF(P22:INDEX(P22:V22,$B$1),"&gt;0")=4,0.6,0))))</f>
        <v>43.2</v>
      </c>
      <c r="P22" s="3">
        <v>51</v>
      </c>
      <c r="Q22" s="3">
        <v>36</v>
      </c>
      <c r="R22" s="3">
        <v>36</v>
      </c>
      <c r="S22" s="3">
        <v>47</v>
      </c>
      <c r="T22" s="3">
        <v>46</v>
      </c>
      <c r="W22" s="3">
        <f>MIN(100,
IF($B$1&gt;=1,IFERROR(VALUE(SUBSTITUTE(SUBSTITUTE(TRIM(X22),"A",""),"B","")),0),0)+
IF($B$1&gt;=2,IFERROR(VALUE(SUBSTITUTE(SUBSTITUTE(TRIM(Y22),"A",""),"B","")),0),0)+
IF($B$1&gt;=3,IFERROR(VALUE(SUBSTITUTE(SUBSTITUTE(TRIM(Z22),"A",""),"B","")),0),0)+
IF($B$1&gt;=4,IFERROR(VALUE(SUBSTITUTE(SUBSTITUTE(TRIM(AA22),"A",""),"B","")),0),0)+
IF($B$1&gt;=5,IFERROR(VALUE(SUBSTITUTE(SUBSTITUTE(TRIM(AB22),"A",""),"B","")),0),0)+
IF($B$1&gt;=6,IFERROR(VALUE(SUBSTITUTE(SUBSTITUTE(TRIM(AC22),"A",""),"B","")),0),0)+
IF($B$1&gt;=7,IFERROR(VALUE(SUBSTITUTE(SUBSTITUTE(TRIM(AD22),"A",""),"B","")),0),0)
)</f>
        <v>90</v>
      </c>
      <c r="X22" s="3" t="s">
        <v>14</v>
      </c>
      <c r="Y22" s="3" t="s">
        <v>17</v>
      </c>
      <c r="Z22" s="3" t="s">
        <v>17</v>
      </c>
      <c r="AA22" s="3" t="s">
        <v>135</v>
      </c>
      <c r="AB22" s="3" t="s">
        <v>134</v>
      </c>
      <c r="AE22" s="19">
        <f>AH22+AK22+AN22+AQ22+AT22+AW22+AZ22</f>
        <v>30.920494203657036</v>
      </c>
      <c r="AG22" s="10">
        <f>SQRT(AF22)</f>
        <v>0</v>
      </c>
      <c r="AH22" s="10">
        <f>IF(AG22&gt;0,AG22/AG$6*1000, 0)</f>
        <v>0</v>
      </c>
      <c r="AI22" s="10">
        <v>1.2</v>
      </c>
      <c r="AJ22" s="10">
        <f>SQRT(AI22)</f>
        <v>1.0954451150103321</v>
      </c>
      <c r="AK22" s="10">
        <f>IF(AJ22&gt;0,AJ22/AJ$6*1000, 0)</f>
        <v>30.920494203657036</v>
      </c>
      <c r="AM22" s="10">
        <f>SQRT(AL22)</f>
        <v>0</v>
      </c>
      <c r="AN22" s="10">
        <f>IF(AM22&gt;0,AM22/AM$6*1000, 0)</f>
        <v>0</v>
      </c>
      <c r="AY22" s="10">
        <f>SQRT(AX22)</f>
        <v>0</v>
      </c>
      <c r="AZ22" s="21">
        <f>IF(AY22&gt;0, AY22/AY$6*1000, 0)</f>
        <v>0</v>
      </c>
      <c r="BA22" s="16">
        <v>0.44</v>
      </c>
      <c r="BB22" s="15">
        <f>SQRT(BA22)</f>
        <v>0.66332495807107994</v>
      </c>
      <c r="BC22" s="10">
        <f>IF(BB22&gt;0, BB22/BB$6*10000, 0)</f>
        <v>177.66835573626554</v>
      </c>
      <c r="BG22" s="17">
        <v>10</v>
      </c>
      <c r="BH22" s="40">
        <f>IF(BG22&gt;0, BG22/BG$6*2000, 0)</f>
        <v>37.453183520599254</v>
      </c>
      <c r="BJ22" s="17"/>
      <c r="BK22" s="3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20.100000000000001" customHeight="1" x14ac:dyDescent="0.25">
      <c r="B23" s="1">
        <v>10</v>
      </c>
      <c r="C23" s="26">
        <v>17</v>
      </c>
      <c r="D23" s="1" t="str">
        <f>IF(C23&lt;B23,"▲"&amp;B23-C23,IF(C23&gt;B23,"▼"&amp;C23-B23,"—"))</f>
        <v>▼7</v>
      </c>
      <c r="E23" s="2" t="s">
        <v>24</v>
      </c>
      <c r="F23" s="27">
        <f>G23+O23+W23+AE23+BC23+BH23</f>
        <v>711.79937331930876</v>
      </c>
      <c r="G23" s="12">
        <f>IF(COUNTIF(H23:INDEX(H23:N23,$B$1),"&gt;0")=0,0,
(SUMIF(H23:INDEX(H23:N23,$B$1),"&gt;0",H23:INDEX(H23:N23,$B$1))*$B$1/COUNTIF(H23:INDEX(H23:N23,$B$1),"&gt;0"))*
IF($B$1-COUNTIF(H23:INDEX(H23:N23,$B$1),"&gt;0")&lt;=2,1,
IF($B$1-COUNTIF(H23:INDEX(H23:N23,$B$1),"&gt;0")=3,0.8,
IF($B$1-COUNTIF(H23:INDEX(H23:N23,$B$1),"&gt;0")=4,0.6,0))))</f>
        <v>390</v>
      </c>
      <c r="H23" s="3">
        <v>73</v>
      </c>
      <c r="I23" s="3">
        <v>76</v>
      </c>
      <c r="J23" s="3">
        <v>79</v>
      </c>
      <c r="K23" s="3">
        <v>103</v>
      </c>
      <c r="L23" s="3">
        <v>59</v>
      </c>
      <c r="M23" s="3"/>
      <c r="N23" s="3"/>
      <c r="O23" s="10">
        <f>0.2*IF(COUNTIF(P23:INDEX(P23:V23,$B$1),"&gt;0")=0,0,
(SUMIF(P23:INDEX(P23:V23,$B$1),"&gt;0",P23:INDEX(P23:V23,$B$1))*$B$1/COUNTIF(P23:INDEX(P23:V23,$B$1),"&gt;0"))*
IF($B$1-COUNTIF(P23:INDEX(P23:V23,$B$1),"&gt;0")&lt;=2,1,
IF($B$1-COUNTIF(P23:INDEX(P23:V23,$B$1),"&gt;0")=3,0.8,
IF($B$1-COUNTIF(P23:INDEX(P23:V23,$B$1),"&gt;0")=4,0.6,0))))</f>
        <v>46.2</v>
      </c>
      <c r="P23" s="3">
        <v>49</v>
      </c>
      <c r="Q23" s="3">
        <v>37</v>
      </c>
      <c r="R23" s="3">
        <v>49</v>
      </c>
      <c r="S23" s="3">
        <v>48</v>
      </c>
      <c r="T23" s="3">
        <v>48</v>
      </c>
      <c r="W23" s="3">
        <f>MIN(100,
IF($B$1&gt;=1,IFERROR(VALUE(SUBSTITUTE(SUBSTITUTE(TRIM(X23),"A",""),"B","")),0),0)+
IF($B$1&gt;=2,IFERROR(VALUE(SUBSTITUTE(SUBSTITUTE(TRIM(Y23),"A",""),"B","")),0),0)+
IF($B$1&gt;=3,IFERROR(VALUE(SUBSTITUTE(SUBSTITUTE(TRIM(Z23),"A",""),"B","")),0),0)+
IF($B$1&gt;=4,IFERROR(VALUE(SUBSTITUTE(SUBSTITUTE(TRIM(AA23),"A",""),"B","")),0),0)+
IF($B$1&gt;=5,IFERROR(VALUE(SUBSTITUTE(SUBSTITUTE(TRIM(AB23),"A",""),"B","")),0),0)+
IF($B$1&gt;=6,IFERROR(VALUE(SUBSTITUTE(SUBSTITUTE(TRIM(AC23),"A",""),"B","")),0),0)+
IF($B$1&gt;=7,IFERROR(VALUE(SUBSTITUTE(SUBSTITUTE(TRIM(AD23),"A",""),"B","")),0),0)
)</f>
        <v>90</v>
      </c>
      <c r="X23" s="3" t="s">
        <v>17</v>
      </c>
      <c r="Y23" s="3" t="s">
        <v>17</v>
      </c>
      <c r="Z23" s="3" t="s">
        <v>17</v>
      </c>
      <c r="AA23" s="3" t="s">
        <v>135</v>
      </c>
      <c r="AB23" s="3" t="s">
        <v>134</v>
      </c>
      <c r="AE23" s="19">
        <f>AH23+AK23+AN23+AQ23+AT23+AW23+AZ23</f>
        <v>37.262821792725852</v>
      </c>
      <c r="AG23" s="10">
        <f>SQRT(AF23)</f>
        <v>0</v>
      </c>
      <c r="AH23" s="10">
        <f>IF(AG23&gt;0,AG23/AG$6*1000, 0)</f>
        <v>0</v>
      </c>
      <c r="AI23" s="10"/>
      <c r="AJ23" s="10">
        <f>SQRT(AI23)</f>
        <v>0</v>
      </c>
      <c r="AK23" s="10">
        <f>IF(AJ23&gt;0,AJ23/AJ$6*1000, 0)</f>
        <v>0</v>
      </c>
      <c r="AM23" s="10">
        <f>SQRT(AL23)</f>
        <v>0</v>
      </c>
      <c r="AN23" s="10">
        <f>IF(AM23&gt;0,AM23/AM$6*1000, 0)</f>
        <v>0</v>
      </c>
      <c r="AX23" s="17">
        <v>113</v>
      </c>
      <c r="AY23" s="10">
        <f>SQRT(AX23)</f>
        <v>10.63014581273465</v>
      </c>
      <c r="AZ23" s="21">
        <f>IF(AY23&gt;0, AY23/AY$6*1000, 0)</f>
        <v>37.262821792725852</v>
      </c>
      <c r="BA23" s="16">
        <v>0.16</v>
      </c>
      <c r="BB23" s="15">
        <f>SQRT(BA23)</f>
        <v>0.4</v>
      </c>
      <c r="BC23" s="10">
        <f>IF(BB23&gt;0, BB23/BB$6*10000, 0)</f>
        <v>107.1380496539237</v>
      </c>
      <c r="BG23" s="17">
        <v>11</v>
      </c>
      <c r="BH23" s="40">
        <f>IF(BG23&gt;0, BG23/BG$6*2000, 0)</f>
        <v>41.198501872659172</v>
      </c>
      <c r="BJ23" s="17"/>
      <c r="BK23" s="3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20.100000000000001" customHeight="1" x14ac:dyDescent="0.25">
      <c r="B24" s="1">
        <v>18</v>
      </c>
      <c r="C24" s="26">
        <v>18</v>
      </c>
      <c r="D24" s="1" t="str">
        <f>IF(C24&lt;B24,"▲"&amp;B24-C24,IF(C24&gt;B24,"▼"&amp;C24-B24,"—"))</f>
        <v>—</v>
      </c>
      <c r="E24" s="2" t="s">
        <v>33</v>
      </c>
      <c r="F24" s="27">
        <f>G24+O24+W24+AE24+BC24+BH24</f>
        <v>676.45269921936324</v>
      </c>
      <c r="G24" s="12">
        <f>IF(COUNTIF(H24:INDEX(H24:N24,$B$1),"&gt;0")=0,0,
(SUMIF(H24:INDEX(H24:N24,$B$1),"&gt;0",H24:INDEX(H24:N24,$B$1))*$B$1/COUNTIF(H24:INDEX(H24:N24,$B$1),"&gt;0"))*
IF($B$1-COUNTIF(H24:INDEX(H24:N24,$B$1),"&gt;0")&lt;=2,1,
IF($B$1-COUNTIF(H24:INDEX(H24:N24,$B$1),"&gt;0")=3,0.8,
IF($B$1-COUNTIF(H24:INDEX(H24:N24,$B$1),"&gt;0")=4,0.6,0))))</f>
        <v>359</v>
      </c>
      <c r="H24" s="3">
        <v>80</v>
      </c>
      <c r="I24" s="3">
        <v>77</v>
      </c>
      <c r="J24" s="3">
        <v>63</v>
      </c>
      <c r="K24" s="3">
        <v>54</v>
      </c>
      <c r="L24" s="3">
        <v>85</v>
      </c>
      <c r="M24" s="3"/>
      <c r="N24" s="3"/>
      <c r="O24" s="10">
        <f>0.2*IF(COUNTIF(P24:INDEX(P24:V24,$B$1),"&gt;0")=0,0,
(SUMIF(P24:INDEX(P24:V24,$B$1),"&gt;0",P24:INDEX(P24:V24,$B$1))*$B$1/COUNTIF(P24:INDEX(P24:V24,$B$1),"&gt;0"))*
IF($B$1-COUNTIF(P24:INDEX(P24:V24,$B$1),"&gt;0")&lt;=2,1,
IF($B$1-COUNTIF(P24:INDEX(P24:V24,$B$1),"&gt;0")=3,0.8,
IF($B$1-COUNTIF(P24:INDEX(P24:V24,$B$1),"&gt;0")=4,0.6,0))))</f>
        <v>47.400000000000006</v>
      </c>
      <c r="P24" s="3">
        <v>51</v>
      </c>
      <c r="Q24" s="3">
        <v>42</v>
      </c>
      <c r="R24" s="3">
        <v>47</v>
      </c>
      <c r="S24" s="3">
        <v>47</v>
      </c>
      <c r="T24" s="3">
        <v>50</v>
      </c>
      <c r="W24" s="3">
        <f>MIN(100,
IF($B$1&gt;=1,IFERROR(VALUE(SUBSTITUTE(SUBSTITUTE(TRIM(X24),"A",""),"B","")),0),0)+
IF($B$1&gt;=2,IFERROR(VALUE(SUBSTITUTE(SUBSTITUTE(TRIM(Y24),"A",""),"B","")),0),0)+
IF($B$1&gt;=3,IFERROR(VALUE(SUBSTITUTE(SUBSTITUTE(TRIM(Z24),"A",""),"B","")),0),0)+
IF($B$1&gt;=4,IFERROR(VALUE(SUBSTITUTE(SUBSTITUTE(TRIM(AA24),"A",""),"B","")),0),0)+
IF($B$1&gt;=5,IFERROR(VALUE(SUBSTITUTE(SUBSTITUTE(TRIM(AB24),"A",""),"B","")),0),0)+
IF($B$1&gt;=6,IFERROR(VALUE(SUBSTITUTE(SUBSTITUTE(TRIM(AC24),"A",""),"B","")),0),0)+
IF($B$1&gt;=7,IFERROR(VALUE(SUBSTITUTE(SUBSTITUTE(TRIM(AD24),"A",""),"B","")),0),0)
)</f>
        <v>70</v>
      </c>
      <c r="X24" s="3" t="s">
        <v>14</v>
      </c>
      <c r="Y24" s="3" t="s">
        <v>31</v>
      </c>
      <c r="AA24" s="3" t="s">
        <v>132</v>
      </c>
      <c r="AB24" s="3" t="s">
        <v>132</v>
      </c>
      <c r="AE24" s="19">
        <f>AH24+AK24+AN24+AQ24+AT24+AW24+AZ24</f>
        <v>51.293427718271673</v>
      </c>
      <c r="AF24" s="10">
        <v>1.4</v>
      </c>
      <c r="AG24" s="10">
        <f>SQRT(AF24)</f>
        <v>1.1832159566199232</v>
      </c>
      <c r="AH24" s="10">
        <f>IF(AG24&gt;0,AG24/AG$6*1000, 0)</f>
        <v>28.484099996362332</v>
      </c>
      <c r="AI24" s="10">
        <v>0.4</v>
      </c>
      <c r="AJ24" s="10">
        <f>SQRT(AI24)</f>
        <v>0.63245553203367588</v>
      </c>
      <c r="AK24" s="10">
        <f>IF(AJ24&gt;0,AJ24/AJ$6*1000, 0)</f>
        <v>17.851955651957653</v>
      </c>
      <c r="AM24" s="10">
        <f>SQRT(AL24)</f>
        <v>0</v>
      </c>
      <c r="AN24" s="10">
        <f>IF(AM24&gt;0,AM24/AM$6*1000, 0)</f>
        <v>0</v>
      </c>
      <c r="AX24" s="17">
        <v>2</v>
      </c>
      <c r="AY24" s="10">
        <f>SQRT(AX24)</f>
        <v>1.4142135623730951</v>
      </c>
      <c r="AZ24" s="21">
        <f>IF(AY24&gt;0, AY24/AY$6*1000, 0)</f>
        <v>4.9573720699516874</v>
      </c>
      <c r="BA24" s="16">
        <v>0.11</v>
      </c>
      <c r="BB24" s="15">
        <f>SQRT(BA24)</f>
        <v>0.33166247903553997</v>
      </c>
      <c r="BC24" s="10">
        <f>IF(BB24&gt;0, BB24/BB$6*10000, 0)</f>
        <v>88.83417786813277</v>
      </c>
      <c r="BG24" s="17">
        <v>16</v>
      </c>
      <c r="BH24" s="40">
        <f>IF(BG24&gt;0, BG24/BG$6*2000, 0)</f>
        <v>59.925093632958799</v>
      </c>
      <c r="BJ24" s="17"/>
      <c r="BK24" s="3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20.100000000000001" customHeight="1" x14ac:dyDescent="0.25">
      <c r="B25" s="1">
        <v>30</v>
      </c>
      <c r="C25" s="26">
        <v>19</v>
      </c>
      <c r="D25" s="1" t="str">
        <f>IF(C25&lt;B25,"▲"&amp;B25-C25,IF(C25&gt;B25,"▼"&amp;C25-B25,"—"))</f>
        <v>▲11</v>
      </c>
      <c r="E25" s="2" t="s">
        <v>45</v>
      </c>
      <c r="F25" s="27">
        <f>G25+O25+W25+AE25+BC25+BH25</f>
        <v>668.0539321690419</v>
      </c>
      <c r="G25" s="12">
        <f>IF(COUNTIF(H25:INDEX(H25:N25,$B$1),"&gt;0")=0,0,
(SUMIF(H25:INDEX(H25:N25,$B$1),"&gt;0",H25:INDEX(H25:N25,$B$1))*$B$1/COUNTIF(H25:INDEX(H25:N25,$B$1),"&gt;0"))*
IF($B$1-COUNTIF(H25:INDEX(H25:N25,$B$1),"&gt;0")&lt;=2,1,
IF($B$1-COUNTIF(H25:INDEX(H25:N25,$B$1),"&gt;0")=3,0.8,
IF($B$1-COUNTIF(H25:INDEX(H25:N25,$B$1),"&gt;0")=4,0.6,0))))</f>
        <v>257</v>
      </c>
      <c r="H25" s="3">
        <v>42</v>
      </c>
      <c r="I25" s="3">
        <v>47</v>
      </c>
      <c r="J25" s="3">
        <v>59</v>
      </c>
      <c r="K25" s="3">
        <v>57</v>
      </c>
      <c r="L25" s="3">
        <v>52</v>
      </c>
      <c r="M25" s="3"/>
      <c r="N25" s="3"/>
      <c r="O25" s="10">
        <f>0.2*IF(COUNTIF(P25:INDEX(P25:V25,$B$1),"&gt;0")=0,0,
(SUMIF(P25:INDEX(P25:V25,$B$1),"&gt;0",P25:INDEX(P25:V25,$B$1))*$B$1/COUNTIF(P25:INDEX(P25:V25,$B$1),"&gt;0"))*
IF($B$1-COUNTIF(P25:INDEX(P25:V25,$B$1),"&gt;0")&lt;=2,1,
IF($B$1-COUNTIF(P25:INDEX(P25:V25,$B$1),"&gt;0")=3,0.8,
IF($B$1-COUNTIF(P25:INDEX(P25:V25,$B$1),"&gt;0")=4,0.6,0))))</f>
        <v>48.800000000000004</v>
      </c>
      <c r="P25" s="3">
        <v>50</v>
      </c>
      <c r="Q25" s="3">
        <v>46</v>
      </c>
      <c r="R25" s="3">
        <v>47</v>
      </c>
      <c r="S25" s="3">
        <v>51</v>
      </c>
      <c r="T25" s="3">
        <v>50</v>
      </c>
      <c r="W25" s="3">
        <f>MIN(100,
IF($B$1&gt;=1,IFERROR(VALUE(SUBSTITUTE(SUBSTITUTE(TRIM(X25),"A",""),"B","")),0),0)+
IF($B$1&gt;=2,IFERROR(VALUE(SUBSTITUTE(SUBSTITUTE(TRIM(Y25),"A",""),"B","")),0),0)+
IF($B$1&gt;=3,IFERROR(VALUE(SUBSTITUTE(SUBSTITUTE(TRIM(Z25),"A",""),"B","")),0),0)+
IF($B$1&gt;=4,IFERROR(VALUE(SUBSTITUTE(SUBSTITUTE(TRIM(AA25),"A",""),"B","")),0),0)+
IF($B$1&gt;=5,IFERROR(VALUE(SUBSTITUTE(SUBSTITUTE(TRIM(AB25),"A",""),"B","")),0),0)+
IF($B$1&gt;=6,IFERROR(VALUE(SUBSTITUTE(SUBSTITUTE(TRIM(AC25),"A",""),"B","")),0),0)+
IF($B$1&gt;=7,IFERROR(VALUE(SUBSTITUTE(SUBSTITUTE(TRIM(AD25),"A",""),"B","")),0),0)
)</f>
        <v>100</v>
      </c>
      <c r="X25" s="3" t="s">
        <v>14</v>
      </c>
      <c r="Y25" s="3" t="s">
        <v>14</v>
      </c>
      <c r="Z25" s="3" t="s">
        <v>14</v>
      </c>
      <c r="AA25" s="3" t="s">
        <v>132</v>
      </c>
      <c r="AB25" s="3" t="s">
        <v>132</v>
      </c>
      <c r="AE25" s="19">
        <f>AH25+AK25+AN25+AQ25+AT25+AW25+AZ25</f>
        <v>88.813346371226999</v>
      </c>
      <c r="AG25" s="10">
        <f>SQRT(AF25)</f>
        <v>0</v>
      </c>
      <c r="AH25" s="10">
        <f>IF(AG25&gt;0,AG25/AG$6*1000, 0)</f>
        <v>0</v>
      </c>
      <c r="AI25" s="10">
        <v>0.6</v>
      </c>
      <c r="AJ25" s="10">
        <f>SQRT(AI25)</f>
        <v>0.7745966692414834</v>
      </c>
      <c r="AK25" s="10">
        <f>IF(AJ25&gt;0,AJ25/AJ$6*1000, 0)</f>
        <v>21.864091129045228</v>
      </c>
      <c r="AL25" s="10">
        <v>1</v>
      </c>
      <c r="AM25" s="10">
        <f>SQRT(AL25)</f>
        <v>1</v>
      </c>
      <c r="AN25" s="10">
        <f>IF(AM25&gt;0,AM25/AM$6*1000, 0)</f>
        <v>40.484130484527462</v>
      </c>
      <c r="AX25" s="17">
        <v>57</v>
      </c>
      <c r="AY25" s="10">
        <f>SQRT(AX25)</f>
        <v>7.5498344352707498</v>
      </c>
      <c r="AZ25" s="21">
        <f>IF(AY25&gt;0, AY25/AY$6*1000, 0)</f>
        <v>26.465124757654301</v>
      </c>
      <c r="BA25" s="16">
        <v>0.35</v>
      </c>
      <c r="BB25" s="15">
        <f>SQRT(BA25)</f>
        <v>0.59160797830996159</v>
      </c>
      <c r="BC25" s="10">
        <f>IF(BB25&gt;0, BB25/BB$6*10000, 0)</f>
        <v>158.45931238957522</v>
      </c>
      <c r="BG25" s="17">
        <v>4</v>
      </c>
      <c r="BH25" s="40">
        <f>IF(BG25&gt;0, BG25/BG$6*2000, 0)</f>
        <v>14.9812734082397</v>
      </c>
      <c r="BJ25" s="17"/>
      <c r="BK25" s="3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20.100000000000001" customHeight="1" x14ac:dyDescent="0.25">
      <c r="B26" s="1">
        <v>24</v>
      </c>
      <c r="C26" s="26">
        <v>20</v>
      </c>
      <c r="D26" s="1" t="str">
        <f>IF(C26&lt;B26,"▲"&amp;B26-C26,IF(C26&gt;B26,"▼"&amp;C26-B26,"—"))</f>
        <v>▲4</v>
      </c>
      <c r="E26" s="2" t="s">
        <v>39</v>
      </c>
      <c r="F26" s="27">
        <f>G26+O26+W26+AE26+BC26+BH26</f>
        <v>647.71074044336513</v>
      </c>
      <c r="G26" s="12">
        <f>IF(COUNTIF(H26:INDEX(H26:N26,$B$1),"&gt;0")=0,0,
(SUMIF(H26:INDEX(H26:N26,$B$1),"&gt;0",H26:INDEX(H26:N26,$B$1))*$B$1/COUNTIF(H26:INDEX(H26:N26,$B$1),"&gt;0"))*
IF($B$1-COUNTIF(H26:INDEX(H26:N26,$B$1),"&gt;0")&lt;=2,1,
IF($B$1-COUNTIF(H26:INDEX(H26:N26,$B$1),"&gt;0")=3,0.8,
IF($B$1-COUNTIF(H26:INDEX(H26:N26,$B$1),"&gt;0")=4,0.6,0))))</f>
        <v>298</v>
      </c>
      <c r="H26" s="3">
        <v>57</v>
      </c>
      <c r="I26" s="3">
        <v>50</v>
      </c>
      <c r="J26" s="3">
        <v>68</v>
      </c>
      <c r="K26" s="3">
        <v>63</v>
      </c>
      <c r="L26" s="3">
        <v>60</v>
      </c>
      <c r="M26" s="3"/>
      <c r="N26" s="3"/>
      <c r="O26" s="10">
        <f>0.2*IF(COUNTIF(P26:INDEX(P26:V26,$B$1),"&gt;0")=0,0,
(SUMIF(P26:INDEX(P26:V26,$B$1),"&gt;0",P26:INDEX(P26:V26,$B$1))*$B$1/COUNTIF(P26:INDEX(P26:V26,$B$1),"&gt;0"))*
IF($B$1-COUNTIF(P26:INDEX(P26:V26,$B$1),"&gt;0")&lt;=2,1,
IF($B$1-COUNTIF(P26:INDEX(P26:V26,$B$1),"&gt;0")=3,0.8,
IF($B$1-COUNTIF(P26:INDEX(P26:V26,$B$1),"&gt;0")=4,0.6,0))))</f>
        <v>66.400000000000006</v>
      </c>
      <c r="P26" s="3">
        <v>68</v>
      </c>
      <c r="Q26" s="3">
        <v>59</v>
      </c>
      <c r="R26" s="3">
        <v>69</v>
      </c>
      <c r="S26" s="3">
        <v>69</v>
      </c>
      <c r="T26" s="3">
        <v>67</v>
      </c>
      <c r="W26" s="3">
        <f>MIN(100,
IF($B$1&gt;=1,IFERROR(VALUE(SUBSTITUTE(SUBSTITUTE(TRIM(X26),"A",""),"B","")),0),0)+
IF($B$1&gt;=2,IFERROR(VALUE(SUBSTITUTE(SUBSTITUTE(TRIM(Y26),"A",""),"B","")),0),0)+
IF($B$1&gt;=3,IFERROR(VALUE(SUBSTITUTE(SUBSTITUTE(TRIM(Z26),"A",""),"B","")),0),0)+
IF($B$1&gt;=4,IFERROR(VALUE(SUBSTITUTE(SUBSTITUTE(TRIM(AA26),"A",""),"B","")),0),0)+
IF($B$1&gt;=5,IFERROR(VALUE(SUBSTITUTE(SUBSTITUTE(TRIM(AB26),"A",""),"B","")),0),0)+
IF($B$1&gt;=6,IFERROR(VALUE(SUBSTITUTE(SUBSTITUTE(TRIM(AC26),"A",""),"B","")),0),0)+
IF($B$1&gt;=7,IFERROR(VALUE(SUBSTITUTE(SUBSTITUTE(TRIM(AD26),"A",""),"B","")),0),0)
)</f>
        <v>90</v>
      </c>
      <c r="X26" s="3" t="s">
        <v>34</v>
      </c>
      <c r="Y26" s="3" t="s">
        <v>17</v>
      </c>
      <c r="Z26" s="3" t="s">
        <v>17</v>
      </c>
      <c r="AA26" s="3" t="s">
        <v>134</v>
      </c>
      <c r="AB26" s="3" t="s">
        <v>134</v>
      </c>
      <c r="AE26" s="19">
        <f>AH26+AK26+AN26+AQ26+AT26+AW26+AZ26</f>
        <v>51.893769847666711</v>
      </c>
      <c r="AG26" s="10">
        <f>SQRT(AF26)</f>
        <v>0</v>
      </c>
      <c r="AH26" s="10">
        <f>IF(AG26&gt;0,AG26/AG$6*1000, 0)</f>
        <v>0</v>
      </c>
      <c r="AI26" s="10">
        <v>0.9</v>
      </c>
      <c r="AJ26" s="10">
        <f>SQRT(AI26)</f>
        <v>0.94868329805051377</v>
      </c>
      <c r="AK26" s="10">
        <f>IF(AJ26&gt;0,AJ26/AJ$6*1000, 0)</f>
        <v>26.777933477936479</v>
      </c>
      <c r="AL26" s="10">
        <v>0.2</v>
      </c>
      <c r="AM26" s="10">
        <f>SQRT(AL26)</f>
        <v>0.44721359549995793</v>
      </c>
      <c r="AN26" s="10">
        <f>IF(AM26&gt;0,AM26/AM$6*1000, 0)</f>
        <v>18.105053554674978</v>
      </c>
      <c r="AX26" s="17">
        <v>4</v>
      </c>
      <c r="AY26" s="10">
        <f>SQRT(AX26)</f>
        <v>2</v>
      </c>
      <c r="AZ26" s="21">
        <f>IF(AY26&gt;0, AY26/AY$6*1000, 0)</f>
        <v>7.0107828150552596</v>
      </c>
      <c r="BA26" s="16">
        <v>0.14000000000000001</v>
      </c>
      <c r="BB26" s="15">
        <f>SQRT(BA26)</f>
        <v>0.37416573867739417</v>
      </c>
      <c r="BC26" s="10">
        <f>IF(BB26&gt;0, BB26/BB$6*10000, 0)</f>
        <v>100.21846872303922</v>
      </c>
      <c r="BG26" s="17">
        <v>11</v>
      </c>
      <c r="BH26" s="40">
        <f>IF(BG26&gt;0, BG26/BG$6*2000, 0)</f>
        <v>41.198501872659172</v>
      </c>
      <c r="BJ26" s="17"/>
      <c r="BK26" s="3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20.100000000000001" customHeight="1" x14ac:dyDescent="0.25">
      <c r="B27" s="1">
        <v>28</v>
      </c>
      <c r="C27" s="26">
        <v>21</v>
      </c>
      <c r="D27" s="1" t="str">
        <f>IF(C27&lt;B27,"▲"&amp;B27-C27,IF(C27&gt;B27,"▼"&amp;C27-B27,"—"))</f>
        <v>▲7</v>
      </c>
      <c r="E27" s="2" t="s">
        <v>43</v>
      </c>
      <c r="F27" s="27">
        <f>G27+O27+W27+AE27+BC27+BH27</f>
        <v>643.40015331659993</v>
      </c>
      <c r="G27" s="12">
        <f>IF(COUNTIF(H27:INDEX(H27:N27,$B$1),"&gt;0")=0,0,
(SUMIF(H27:INDEX(H27:N27,$B$1),"&gt;0",H27:INDEX(H27:N27,$B$1))*$B$1/COUNTIF(H27:INDEX(H27:N27,$B$1),"&gt;0"))*
IF($B$1-COUNTIF(H27:INDEX(H27:N27,$B$1),"&gt;0")&lt;=2,1,
IF($B$1-COUNTIF(H27:INDEX(H27:N27,$B$1),"&gt;0")=3,0.8,
IF($B$1-COUNTIF(H27:INDEX(H27:N27,$B$1),"&gt;0")=4,0.6,0))))</f>
        <v>328</v>
      </c>
      <c r="H27" s="3">
        <v>72</v>
      </c>
      <c r="I27" s="3">
        <v>65</v>
      </c>
      <c r="J27" s="3">
        <v>47</v>
      </c>
      <c r="K27" s="3">
        <v>101</v>
      </c>
      <c r="L27" s="3">
        <v>43</v>
      </c>
      <c r="M27" s="3"/>
      <c r="N27" s="3"/>
      <c r="O27" s="10">
        <f>0.2*IF(COUNTIF(P27:INDEX(P27:V27,$B$1),"&gt;0")=0,0,
(SUMIF(P27:INDEX(P27:V27,$B$1),"&gt;0",P27:INDEX(P27:V27,$B$1))*$B$1/COUNTIF(P27:INDEX(P27:V27,$B$1),"&gt;0"))*
IF($B$1-COUNTIF(P27:INDEX(P27:V27,$B$1),"&gt;0")&lt;=2,1,
IF($B$1-COUNTIF(P27:INDEX(P27:V27,$B$1),"&gt;0")=3,0.8,
IF($B$1-COUNTIF(P27:INDEX(P27:V27,$B$1),"&gt;0")=4,0.6,0))))</f>
        <v>42.2</v>
      </c>
      <c r="P27" s="3">
        <v>46</v>
      </c>
      <c r="Q27" s="3">
        <v>40</v>
      </c>
      <c r="R27" s="3">
        <v>44</v>
      </c>
      <c r="S27" s="3">
        <v>39</v>
      </c>
      <c r="T27" s="3">
        <v>42</v>
      </c>
      <c r="W27" s="3">
        <f>MIN(100,
IF($B$1&gt;=1,IFERROR(VALUE(SUBSTITUTE(SUBSTITUTE(TRIM(X27),"A",""),"B","")),0),0)+
IF($B$1&gt;=2,IFERROR(VALUE(SUBSTITUTE(SUBSTITUTE(TRIM(Y27),"A",""),"B","")),0),0)+
IF($B$1&gt;=3,IFERROR(VALUE(SUBSTITUTE(SUBSTITUTE(TRIM(Z27),"A",""),"B","")),0),0)+
IF($B$1&gt;=4,IFERROR(VALUE(SUBSTITUTE(SUBSTITUTE(TRIM(AA27),"A",""),"B","")),0),0)+
IF($B$1&gt;=5,IFERROR(VALUE(SUBSTITUTE(SUBSTITUTE(TRIM(AB27),"A",""),"B","")),0),0)+
IF($B$1&gt;=6,IFERROR(VALUE(SUBSTITUTE(SUBSTITUTE(TRIM(AC27),"A",""),"B","")),0),0)+
IF($B$1&gt;=7,IFERROR(VALUE(SUBSTITUTE(SUBSTITUTE(TRIM(AD27),"A",""),"B","")),0),0)
)</f>
        <v>80</v>
      </c>
      <c r="X27" s="3" t="s">
        <v>14</v>
      </c>
      <c r="Z27" s="3" t="s">
        <v>14</v>
      </c>
      <c r="AA27" s="3" t="s">
        <v>132</v>
      </c>
      <c r="AB27" s="3" t="s">
        <v>132</v>
      </c>
      <c r="AE27" s="19">
        <f>AH27+AK27+AN27+AQ27+AT27+AW27+AZ27</f>
        <v>26.371152300563505</v>
      </c>
      <c r="AF27" s="10">
        <v>1.2</v>
      </c>
      <c r="AG27" s="10">
        <f>SQRT(AF27)</f>
        <v>1.0954451150103321</v>
      </c>
      <c r="AH27" s="10">
        <f>IF(AG27&gt;0,AG27/AG$6*1000, 0)</f>
        <v>26.371152300563505</v>
      </c>
      <c r="AI27" s="10"/>
      <c r="AJ27" s="10">
        <f>SQRT(AI27)</f>
        <v>0</v>
      </c>
      <c r="AK27" s="10">
        <f>IF(AJ27&gt;0,AJ27/AJ$6*1000, 0)</f>
        <v>0</v>
      </c>
      <c r="AM27" s="10">
        <f>SQRT(AL27)</f>
        <v>0</v>
      </c>
      <c r="AN27" s="10">
        <f>IF(AM27&gt;0,AM27/AM$6*1000, 0)</f>
        <v>0</v>
      </c>
      <c r="AY27" s="10">
        <f>SQRT(AX27)</f>
        <v>0</v>
      </c>
      <c r="AZ27" s="21">
        <f>IF(AY27&gt;0, AY27/AY$6*1000, 0)</f>
        <v>0</v>
      </c>
      <c r="BA27" s="16">
        <v>0.22</v>
      </c>
      <c r="BB27" s="15">
        <f>SQRT(BA27)</f>
        <v>0.46904157598234297</v>
      </c>
      <c r="BC27" s="10">
        <f>IF(BB27&gt;0, BB27/BB$6*10000, 0)</f>
        <v>125.63049914337722</v>
      </c>
      <c r="BG27" s="17">
        <v>11</v>
      </c>
      <c r="BH27" s="40">
        <f>IF(BG27&gt;0, BG27/BG$6*2000, 0)</f>
        <v>41.198501872659172</v>
      </c>
      <c r="BJ27" s="17"/>
      <c r="BK27" s="3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ht="20.100000000000001" customHeight="1" x14ac:dyDescent="0.25">
      <c r="B28" s="1">
        <v>16</v>
      </c>
      <c r="C28" s="26">
        <v>22</v>
      </c>
      <c r="D28" s="1" t="str">
        <f>IF(C28&lt;B28,"▲"&amp;B28-C28,IF(C28&gt;B28,"▼"&amp;C28-B28,"—"))</f>
        <v>▼6</v>
      </c>
      <c r="E28" s="2" t="s">
        <v>30</v>
      </c>
      <c r="F28" s="27">
        <f>G28+O28+W28+AE28+BC28+BH28</f>
        <v>642.53419271044459</v>
      </c>
      <c r="G28" s="12">
        <f>IF(COUNTIF(H28:INDEX(H28:N28,$B$1),"&gt;0")=0,0,
(SUMIF(H28:INDEX(H28:N28,$B$1),"&gt;0",H28:INDEX(H28:N28,$B$1))*$B$1/COUNTIF(H28:INDEX(H28:N28,$B$1),"&gt;0"))*
IF($B$1-COUNTIF(H28:INDEX(H28:N28,$B$1),"&gt;0")&lt;=2,1,
IF($B$1-COUNTIF(H28:INDEX(H28:N28,$B$1),"&gt;0")=3,0.8,
IF($B$1-COUNTIF(H28:INDEX(H28:N28,$B$1),"&gt;0")=4,0.6,0))))</f>
        <v>320</v>
      </c>
      <c r="H28" s="3">
        <v>51</v>
      </c>
      <c r="I28" s="3">
        <v>72</v>
      </c>
      <c r="J28" s="3">
        <v>87</v>
      </c>
      <c r="K28" s="3">
        <v>60</v>
      </c>
      <c r="L28" s="3">
        <v>50</v>
      </c>
      <c r="M28" s="3"/>
      <c r="N28" s="3"/>
      <c r="O28" s="10">
        <f>0.2*IF(COUNTIF(P28:INDEX(P28:V28,$B$1),"&gt;0")=0,0,
(SUMIF(P28:INDEX(P28:V28,$B$1),"&gt;0",P28:INDEX(P28:V28,$B$1))*$B$1/COUNTIF(P28:INDEX(P28:V28,$B$1),"&gt;0"))*
IF($B$1-COUNTIF(P28:INDEX(P28:V28,$B$1),"&gt;0")&lt;=2,1,
IF($B$1-COUNTIF(P28:INDEX(P28:V28,$B$1),"&gt;0")=3,0.8,
IF($B$1-COUNTIF(P28:INDEX(P28:V28,$B$1),"&gt;0")=4,0.6,0))))</f>
        <v>46.6</v>
      </c>
      <c r="P28" s="3">
        <v>45</v>
      </c>
      <c r="Q28" s="3">
        <v>39</v>
      </c>
      <c r="R28" s="3">
        <v>50</v>
      </c>
      <c r="S28" s="3">
        <v>55</v>
      </c>
      <c r="T28" s="3">
        <v>44</v>
      </c>
      <c r="W28" s="3">
        <f>MIN(100,
IF($B$1&gt;=1,IFERROR(VALUE(SUBSTITUTE(SUBSTITUTE(TRIM(X28),"A",""),"B","")),0),0)+
IF($B$1&gt;=2,IFERROR(VALUE(SUBSTITUTE(SUBSTITUTE(TRIM(Y28),"A",""),"B","")),0),0)+
IF($B$1&gt;=3,IFERROR(VALUE(SUBSTITUTE(SUBSTITUTE(TRIM(Z28),"A",""),"B","")),0),0)+
IF($B$1&gt;=4,IFERROR(VALUE(SUBSTITUTE(SUBSTITUTE(TRIM(AA28),"A",""),"B","")),0),0)+
IF($B$1&gt;=5,IFERROR(VALUE(SUBSTITUTE(SUBSTITUTE(TRIM(AB28),"A",""),"B","")),0),0)+
IF($B$1&gt;=6,IFERROR(VALUE(SUBSTITUTE(SUBSTITUTE(TRIM(AC28),"A",""),"B","")),0),0)+
IF($B$1&gt;=7,IFERROR(VALUE(SUBSTITUTE(SUBSTITUTE(TRIM(AD28),"A",""),"B","")),0),0)
)</f>
        <v>70</v>
      </c>
      <c r="X28" s="3" t="s">
        <v>14</v>
      </c>
      <c r="Y28" s="3" t="s">
        <v>14</v>
      </c>
      <c r="Z28" s="3" t="s">
        <v>31</v>
      </c>
      <c r="AA28" s="3" t="s">
        <v>132</v>
      </c>
      <c r="AE28" s="19">
        <f>AH28+AK28+AN28+AQ28+AT28+AW28+AZ28</f>
        <v>95.618108653522427</v>
      </c>
      <c r="AF28" s="10">
        <v>2.5</v>
      </c>
      <c r="AG28" s="10">
        <f>SQRT(AF28)</f>
        <v>1.5811388300841898</v>
      </c>
      <c r="AH28" s="10">
        <f>IF(AG28&gt;0,AG28/AG$6*1000, 0)</f>
        <v>38.063479698927409</v>
      </c>
      <c r="AI28" s="10">
        <v>1</v>
      </c>
      <c r="AJ28" s="10">
        <f>SQRT(AI28)</f>
        <v>1</v>
      </c>
      <c r="AK28" s="10">
        <f>IF(AJ28&gt;0,AJ28/AJ$6*1000, 0)</f>
        <v>28.226420274251161</v>
      </c>
      <c r="AM28" s="10">
        <f>SQRT(AL28)</f>
        <v>0</v>
      </c>
      <c r="AN28" s="10">
        <f>IF(AM28&gt;0,AM28/AM$6*1000, 0)</f>
        <v>0</v>
      </c>
      <c r="AX28" s="17">
        <v>70</v>
      </c>
      <c r="AY28" s="10">
        <f>SQRT(AX28)</f>
        <v>8.3666002653407556</v>
      </c>
      <c r="AZ28" s="21">
        <f>IF(AY28&gt;0, AY28/AY$6*1000, 0)</f>
        <v>29.32820868034387</v>
      </c>
      <c r="BA28" s="16">
        <v>0.09</v>
      </c>
      <c r="BB28" s="15">
        <f>SQRT(BA28)</f>
        <v>0.3</v>
      </c>
      <c r="BC28" s="10">
        <f>IF(BB28&gt;0, BB28/BB$6*10000, 0)</f>
        <v>80.353537240442762</v>
      </c>
      <c r="BG28" s="17">
        <v>8</v>
      </c>
      <c r="BH28" s="40">
        <f>IF(BG28&gt;0, BG28/BG$6*2000, 0)</f>
        <v>29.962546816479399</v>
      </c>
      <c r="BJ28" s="17"/>
      <c r="BK28" s="3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s="4" customFormat="1" ht="20.100000000000001" customHeight="1" x14ac:dyDescent="0.25">
      <c r="A29" s="1"/>
      <c r="B29" s="1">
        <v>36</v>
      </c>
      <c r="C29" s="26">
        <v>23</v>
      </c>
      <c r="D29" s="1" t="str">
        <f>IF(C29&lt;B29,"▲"&amp;B29-C29,IF(C29&gt;B29,"▼"&amp;C29-B29,"—"))</f>
        <v>▲13</v>
      </c>
      <c r="E29" s="2" t="s">
        <v>51</v>
      </c>
      <c r="F29" s="27">
        <f>G29+O29+W29+AE29+BC29+BH29</f>
        <v>605.32040080115792</v>
      </c>
      <c r="G29" s="12">
        <f>IF(COUNTIF(H29:INDEX(H29:N29,$B$1),"&gt;0")=0,0,
(SUMIF(H29:INDEX(H29:N29,$B$1),"&gt;0",H29:INDEX(H29:N29,$B$1))*$B$1/COUNTIF(H29:INDEX(H29:N29,$B$1),"&gt;0"))*
IF($B$1-COUNTIF(H29:INDEX(H29:N29,$B$1),"&gt;0")&lt;=2,1,
IF($B$1-COUNTIF(H29:INDEX(H29:N29,$B$1),"&gt;0")=3,0.8,
IF($B$1-COUNTIF(H29:INDEX(H29:N29,$B$1),"&gt;0")=4,0.6,0))))</f>
        <v>339</v>
      </c>
      <c r="H29" s="3">
        <v>48</v>
      </c>
      <c r="I29" s="3">
        <v>66</v>
      </c>
      <c r="J29" s="3">
        <v>70</v>
      </c>
      <c r="K29" s="3">
        <v>81</v>
      </c>
      <c r="L29" s="3">
        <v>74</v>
      </c>
      <c r="M29" s="3"/>
      <c r="N29" s="3"/>
      <c r="O29" s="10">
        <f>0.2*IF(COUNTIF(P29:INDEX(P29:V29,$B$1),"&gt;0")=0,0,
(SUMIF(P29:INDEX(P29:V29,$B$1),"&gt;0",P29:INDEX(P29:V29,$B$1))*$B$1/COUNTIF(P29:INDEX(P29:V29,$B$1),"&gt;0"))*
IF($B$1-COUNTIF(P29:INDEX(P29:V29,$B$1),"&gt;0")&lt;=2,1,
IF($B$1-COUNTIF(P29:INDEX(P29:V29,$B$1),"&gt;0")=3,0.8,
IF($B$1-COUNTIF(P29:INDEX(P29:V29,$B$1),"&gt;0")=4,0.6,0))))</f>
        <v>45.800000000000004</v>
      </c>
      <c r="P29" s="3">
        <v>48</v>
      </c>
      <c r="Q29" s="3">
        <v>40</v>
      </c>
      <c r="R29" s="3">
        <v>43</v>
      </c>
      <c r="S29" s="3">
        <v>45</v>
      </c>
      <c r="T29" s="3">
        <v>53</v>
      </c>
      <c r="U29" s="3"/>
      <c r="V29" s="3"/>
      <c r="W29" s="3">
        <f>MIN(100,
IF($B$1&gt;=1,IFERROR(VALUE(SUBSTITUTE(SUBSTITUTE(TRIM(X29),"A",""),"B","")),0),0)+
IF($B$1&gt;=2,IFERROR(VALUE(SUBSTITUTE(SUBSTITUTE(TRIM(Y29),"A",""),"B","")),0),0)+
IF($B$1&gt;=3,IFERROR(VALUE(SUBSTITUTE(SUBSTITUTE(TRIM(Z29),"A",""),"B","")),0),0)+
IF($B$1&gt;=4,IFERROR(VALUE(SUBSTITUTE(SUBSTITUTE(TRIM(AA29),"A",""),"B","")),0),0)+
IF($B$1&gt;=5,IFERROR(VALUE(SUBSTITUTE(SUBSTITUTE(TRIM(AB29),"A",""),"B","")),0),0)+
IF($B$1&gt;=6,IFERROR(VALUE(SUBSTITUTE(SUBSTITUTE(TRIM(AC29),"A",""),"B","")),0),0)+
IF($B$1&gt;=7,IFERROR(VALUE(SUBSTITUTE(SUBSTITUTE(TRIM(AD29),"A",""),"B","")),0),0)
)</f>
        <v>0</v>
      </c>
      <c r="X29" s="3"/>
      <c r="Y29" s="3"/>
      <c r="Z29" s="3"/>
      <c r="AA29" s="3"/>
      <c r="AB29" s="3"/>
      <c r="AC29" s="3"/>
      <c r="AD29" s="3"/>
      <c r="AE29" s="19">
        <f>AH29+AK29+AN29+AQ29+AT29+AW29+AZ29</f>
        <v>75.258329329271717</v>
      </c>
      <c r="AF29" s="10">
        <v>0.9</v>
      </c>
      <c r="AG29" s="10">
        <f>SQRT(AF29)</f>
        <v>0.94868329805051377</v>
      </c>
      <c r="AH29" s="10">
        <f>IF(AG29&gt;0,AG29/AG$6*1000, 0)</f>
        <v>22.838087819356442</v>
      </c>
      <c r="AI29" s="10"/>
      <c r="AJ29" s="10">
        <f>SQRT(AI29)</f>
        <v>0</v>
      </c>
      <c r="AK29" s="10">
        <f>IF(AJ29&gt;0,AJ29/AJ$6*1000, 0)</f>
        <v>0</v>
      </c>
      <c r="AL29" s="10">
        <v>0.7</v>
      </c>
      <c r="AM29" s="10">
        <f>SQRT(AL29)</f>
        <v>0.83666002653407556</v>
      </c>
      <c r="AN29" s="10">
        <f>IF(AM29&gt;0,AM29/AM$6*1000, 0)</f>
        <v>33.871453685393725</v>
      </c>
      <c r="AO29" s="10"/>
      <c r="AP29" s="10"/>
      <c r="AQ29" s="10"/>
      <c r="AR29" s="10"/>
      <c r="AS29" s="10"/>
      <c r="AT29" s="10"/>
      <c r="AU29" s="10"/>
      <c r="AV29" s="10"/>
      <c r="AW29" s="10"/>
      <c r="AX29" s="17">
        <v>28</v>
      </c>
      <c r="AY29" s="10">
        <f>SQRT(AX29)</f>
        <v>5.2915026221291814</v>
      </c>
      <c r="AZ29" s="21">
        <f>IF(AY29&gt;0, AY29/AY$6*1000, 0)</f>
        <v>18.548787824521554</v>
      </c>
      <c r="BA29" s="16">
        <v>0.13</v>
      </c>
      <c r="BB29" s="15">
        <f>SQRT(BA29)</f>
        <v>0.36055512754639896</v>
      </c>
      <c r="BC29" s="10">
        <f>IF(BB29&gt;0, BB29/BB$6*10000, 0)</f>
        <v>96.572932895107201</v>
      </c>
      <c r="BD29" s="10"/>
      <c r="BE29" s="10"/>
      <c r="BF29" s="10"/>
      <c r="BG29" s="17">
        <v>13</v>
      </c>
      <c r="BH29" s="40">
        <f>IF(BG29&gt;0, BG29/BG$6*2000, 0)</f>
        <v>48.68913857677903</v>
      </c>
      <c r="BI29" s="17"/>
      <c r="BJ29" s="17"/>
      <c r="BK29" s="3"/>
      <c r="BL29" s="1"/>
      <c r="BM29" s="1"/>
      <c r="BN29" s="1"/>
    </row>
    <row r="30" spans="1:85" s="4" customFormat="1" ht="20.100000000000001" customHeight="1" x14ac:dyDescent="0.25">
      <c r="A30" s="1"/>
      <c r="B30" s="1">
        <v>100</v>
      </c>
      <c r="C30" s="26">
        <v>24</v>
      </c>
      <c r="D30" s="1" t="str">
        <f>IF(C30&lt;B30,"▲"&amp;B30-C30,IF(C30&gt;B30,"▼"&amp;C30-B30,"—"))</f>
        <v>▲76</v>
      </c>
      <c r="E30" s="2" t="s">
        <v>124</v>
      </c>
      <c r="F30" s="27">
        <f>G30+O30+W30+AE30+BC30+BH30</f>
        <v>601.71704328717351</v>
      </c>
      <c r="G30" s="12">
        <f>IF(COUNTIF(H30:INDEX(H30:N30,$B$1),"&gt;0")=0,0,
(SUMIF(H30:INDEX(H30:N30,$B$1),"&gt;0",H30:INDEX(H30:N30,$B$1))*$B$1/COUNTIF(H30:INDEX(H30:N30,$B$1),"&gt;0"))*
IF($B$1-COUNTIF(H30:INDEX(H30:N30,$B$1),"&gt;0")&lt;=2,1,
IF($B$1-COUNTIF(H30:INDEX(H30:N30,$B$1),"&gt;0")=3,0.8,
IF($B$1-COUNTIF(H30:INDEX(H30:N30,$B$1),"&gt;0")=4,0.6,0))))</f>
        <v>354</v>
      </c>
      <c r="H30" s="3">
        <v>-1</v>
      </c>
      <c r="I30" s="3">
        <v>-1</v>
      </c>
      <c r="J30" s="3">
        <v>-1</v>
      </c>
      <c r="K30" s="3">
        <v>82</v>
      </c>
      <c r="L30" s="3">
        <v>95</v>
      </c>
      <c r="M30" s="3"/>
      <c r="N30" s="3"/>
      <c r="O30" s="10">
        <f>0.2*IF(COUNTIF(P30:INDEX(P30:V30,$B$1),"&gt;0")=0,0,
(SUMIF(P30:INDEX(P30:V30,$B$1),"&gt;0",P30:INDEX(P30:V30,$B$1))*$B$1/COUNTIF(P30:INDEX(P30:V30,$B$1),"&gt;0"))*
IF($B$1-COUNTIF(P30:INDEX(P30:V30,$B$1),"&gt;0")&lt;=2,1,
IF($B$1-COUNTIF(P30:INDEX(P30:V30,$B$1),"&gt;0")=3,0.8,
IF($B$1-COUNTIF(P30:INDEX(P30:V30,$B$1),"&gt;0")=4,0.6,0))))</f>
        <v>38.800000000000004</v>
      </c>
      <c r="P30" s="3">
        <v>-1</v>
      </c>
      <c r="Q30" s="3">
        <v>-1</v>
      </c>
      <c r="R30" s="3">
        <v>-1</v>
      </c>
      <c r="S30" s="3">
        <v>52</v>
      </c>
      <c r="T30" s="3">
        <v>45</v>
      </c>
      <c r="U30" s="3"/>
      <c r="V30" s="3"/>
      <c r="W30" s="3">
        <f>MIN(100,
IF($B$1&gt;=1,IFERROR(VALUE(SUBSTITUTE(SUBSTITUTE(TRIM(X30),"A",""),"B","")),0),0)+
IF($B$1&gt;=2,IFERROR(VALUE(SUBSTITUTE(SUBSTITUTE(TRIM(Y30),"A",""),"B","")),0),0)+
IF($B$1&gt;=3,IFERROR(VALUE(SUBSTITUTE(SUBSTITUTE(TRIM(Z30),"A",""),"B","")),0),0)+
IF($B$1&gt;=4,IFERROR(VALUE(SUBSTITUTE(SUBSTITUTE(TRIM(AA30),"A",""),"B","")),0),0)+
IF($B$1&gt;=5,IFERROR(VALUE(SUBSTITUTE(SUBSTITUTE(TRIM(AB30),"A",""),"B","")),0),0)+
IF($B$1&gt;=6,IFERROR(VALUE(SUBSTITUTE(SUBSTITUTE(TRIM(AC30),"A",""),"B","")),0),0)+
IF($B$1&gt;=7,IFERROR(VALUE(SUBSTITUTE(SUBSTITUTE(TRIM(AD30),"A",""),"B","")),0),0)
)</f>
        <v>40</v>
      </c>
      <c r="X30" s="3"/>
      <c r="Y30" s="3"/>
      <c r="Z30" s="3"/>
      <c r="AA30" s="3" t="s">
        <v>132</v>
      </c>
      <c r="AB30" s="3" t="s">
        <v>132</v>
      </c>
      <c r="AC30" s="3"/>
      <c r="AD30" s="3"/>
      <c r="AE30" s="19">
        <f>AH30+AK30+AN30+AQ30+AT30+AW30+AZ30</f>
        <v>61.356273658741145</v>
      </c>
      <c r="AF30" s="10"/>
      <c r="AG30" s="10">
        <f>SQRT(AF30)</f>
        <v>0</v>
      </c>
      <c r="AH30" s="10">
        <f>IF(AG30&gt;0,AG30/AG$6*1000, 0)</f>
        <v>0</v>
      </c>
      <c r="AI30" s="10">
        <v>2.2999999999999998</v>
      </c>
      <c r="AJ30" s="10">
        <f>SQRT(AI30)</f>
        <v>1.51657508881031</v>
      </c>
      <c r="AK30" s="10">
        <f>IF(AJ30&gt;0,AJ30/AJ$6*1000, 0)</f>
        <v>42.807485834219591</v>
      </c>
      <c r="AL30" s="10"/>
      <c r="AM30" s="10">
        <f>SQRT(AL30)</f>
        <v>0</v>
      </c>
      <c r="AN30" s="10">
        <f>IF(AM30&gt;0,AM30/AM$6*1000, 0)</f>
        <v>0</v>
      </c>
      <c r="AO30" s="10"/>
      <c r="AP30" s="10"/>
      <c r="AQ30" s="10"/>
      <c r="AR30" s="10"/>
      <c r="AS30" s="10"/>
      <c r="AT30" s="10"/>
      <c r="AU30" s="10"/>
      <c r="AV30" s="10"/>
      <c r="AW30" s="10"/>
      <c r="AX30" s="17">
        <v>28</v>
      </c>
      <c r="AY30" s="10">
        <f>SQRT(AX30)</f>
        <v>5.2915026221291814</v>
      </c>
      <c r="AZ30" s="21">
        <f>IF(AY30&gt;0, AY30/AY$6*1000, 0)</f>
        <v>18.548787824521554</v>
      </c>
      <c r="BA30" s="16">
        <v>0.11</v>
      </c>
      <c r="BB30" s="15">
        <f>SQRT(BA30)</f>
        <v>0.33166247903553997</v>
      </c>
      <c r="BC30" s="10">
        <f>IF(BB30&gt;0, BB30/BB$6*10000, 0)</f>
        <v>88.83417786813277</v>
      </c>
      <c r="BD30" s="10"/>
      <c r="BE30" s="10"/>
      <c r="BF30" s="10"/>
      <c r="BG30" s="17">
        <v>5</v>
      </c>
      <c r="BH30" s="40">
        <f>IF(BG30&gt;0, BG30/BG$6*2000, 0)</f>
        <v>18.726591760299627</v>
      </c>
      <c r="BI30" s="17"/>
      <c r="BJ30" s="17"/>
      <c r="BK30" s="3"/>
      <c r="BL30" s="1"/>
      <c r="BM30" s="1"/>
      <c r="BN30" s="1"/>
    </row>
    <row r="31" spans="1:85" s="4" customFormat="1" ht="20.100000000000001" customHeight="1" x14ac:dyDescent="0.25">
      <c r="A31" s="1"/>
      <c r="B31" s="1">
        <v>19</v>
      </c>
      <c r="C31" s="26">
        <v>25</v>
      </c>
      <c r="D31" s="1" t="str">
        <f>IF(C31&lt;B31,"▲"&amp;B31-C31,IF(C31&gt;B31,"▼"&amp;C31-B31,"—"))</f>
        <v>▼6</v>
      </c>
      <c r="E31" s="2" t="s">
        <v>125</v>
      </c>
      <c r="F31" s="27">
        <f>G31+O31+W31+AE31+BC31+BH31</f>
        <v>592.43745623281575</v>
      </c>
      <c r="G31" s="12">
        <f>IF(COUNTIF(H31:INDEX(H31:N31,$B$1),"&gt;0")=0,0,
(SUMIF(H31:INDEX(H31:N31,$B$1),"&gt;0",H31:INDEX(H31:N31,$B$1))*$B$1/COUNTIF(H31:INDEX(H31:N31,$B$1),"&gt;0"))*
IF($B$1-COUNTIF(H31:INDEX(H31:N31,$B$1),"&gt;0")&lt;=2,1,
IF($B$1-COUNTIF(H31:INDEX(H31:N31,$B$1),"&gt;0")=3,0.8,
IF($B$1-COUNTIF(H31:INDEX(H31:N31,$B$1),"&gt;0")=4,0.6,0))))</f>
        <v>341</v>
      </c>
      <c r="H31" s="3">
        <v>61</v>
      </c>
      <c r="I31" s="3">
        <v>95</v>
      </c>
      <c r="J31" s="3">
        <v>61</v>
      </c>
      <c r="K31" s="3">
        <v>49</v>
      </c>
      <c r="L31" s="3">
        <v>75</v>
      </c>
      <c r="M31" s="3"/>
      <c r="N31" s="3"/>
      <c r="O31" s="10">
        <f>0.2*IF(COUNTIF(P31:INDEX(P31:V31,$B$1),"&gt;0")=0,0,
(SUMIF(P31:INDEX(P31:V31,$B$1),"&gt;0",P31:INDEX(P31:V31,$B$1))*$B$1/COUNTIF(P31:INDEX(P31:V31,$B$1),"&gt;0"))*
IF($B$1-COUNTIF(P31:INDEX(P31:V31,$B$1),"&gt;0")&lt;=2,1,
IF($B$1-COUNTIF(P31:INDEX(P31:V31,$B$1),"&gt;0")=3,0.8,
IF($B$1-COUNTIF(P31:INDEX(P31:V31,$B$1),"&gt;0")=4,0.6,0))))</f>
        <v>51.2</v>
      </c>
      <c r="P31" s="3">
        <v>48</v>
      </c>
      <c r="Q31" s="3">
        <v>44</v>
      </c>
      <c r="R31" s="3">
        <v>58</v>
      </c>
      <c r="S31" s="3">
        <v>52</v>
      </c>
      <c r="T31" s="3">
        <v>54</v>
      </c>
      <c r="U31" s="3"/>
      <c r="V31" s="3"/>
      <c r="W31" s="3">
        <f>MIN(100,
IF($B$1&gt;=1,IFERROR(VALUE(SUBSTITUTE(SUBSTITUTE(TRIM(X31),"A",""),"B","")),0),0)+
IF($B$1&gt;=2,IFERROR(VALUE(SUBSTITUTE(SUBSTITUTE(TRIM(Y31),"A",""),"B","")),0),0)+
IF($B$1&gt;=3,IFERROR(VALUE(SUBSTITUTE(SUBSTITUTE(TRIM(Z31),"A",""),"B","")),0),0)+
IF($B$1&gt;=4,IFERROR(VALUE(SUBSTITUTE(SUBSTITUTE(TRIM(AA31),"A",""),"B","")),0),0)+
IF($B$1&gt;=5,IFERROR(VALUE(SUBSTITUTE(SUBSTITUTE(TRIM(AB31),"A",""),"B","")),0),0)+
IF($B$1&gt;=6,IFERROR(VALUE(SUBSTITUTE(SUBSTITUTE(TRIM(AC31),"A",""),"B","")),0),0)+
IF($B$1&gt;=7,IFERROR(VALUE(SUBSTITUTE(SUBSTITUTE(TRIM(AD31),"A",""),"B","")),0),0)
)</f>
        <v>70</v>
      </c>
      <c r="X31" s="3" t="s">
        <v>34</v>
      </c>
      <c r="Y31" s="3"/>
      <c r="Z31" s="3" t="s">
        <v>17</v>
      </c>
      <c r="AA31" s="3" t="s">
        <v>134</v>
      </c>
      <c r="AB31" s="3" t="s">
        <v>134</v>
      </c>
      <c r="AC31" s="3"/>
      <c r="AD31" s="3"/>
      <c r="AE31" s="19">
        <f>AH31+AK31+AN31+AQ31+AT31+AW31+AZ31</f>
        <v>0</v>
      </c>
      <c r="AF31" s="10"/>
      <c r="AG31" s="10">
        <f>SQRT(AF31)</f>
        <v>0</v>
      </c>
      <c r="AH31" s="10">
        <f>IF(AG31&gt;0,AG31/AG$6*1000, 0)</f>
        <v>0</v>
      </c>
      <c r="AI31" s="10"/>
      <c r="AJ31" s="10">
        <f>SQRT(AI31)</f>
        <v>0</v>
      </c>
      <c r="AK31" s="10">
        <f>IF(AJ31&gt;0,AJ31/AJ$6*1000, 0)</f>
        <v>0</v>
      </c>
      <c r="AL31" s="10"/>
      <c r="AM31" s="10">
        <f>SQRT(AL31)</f>
        <v>0</v>
      </c>
      <c r="AN31" s="10">
        <f>IF(AM31&gt;0,AM31/AM$6*1000, 0)</f>
        <v>0</v>
      </c>
      <c r="AO31" s="10"/>
      <c r="AP31" s="10"/>
      <c r="AQ31" s="10"/>
      <c r="AR31" s="10"/>
      <c r="AS31" s="10"/>
      <c r="AT31" s="10"/>
      <c r="AU31" s="10"/>
      <c r="AV31" s="10"/>
      <c r="AW31" s="10"/>
      <c r="AX31" s="17"/>
      <c r="AY31" s="10">
        <f>SQRT(AX31)</f>
        <v>0</v>
      </c>
      <c r="AZ31" s="21">
        <f>IF(AY31&gt;0, AY31/AY$6*1000, 0)</f>
        <v>0</v>
      </c>
      <c r="BA31" s="16">
        <v>0.12</v>
      </c>
      <c r="BB31" s="15">
        <f>SQRT(BA31)</f>
        <v>0.34641016151377546</v>
      </c>
      <c r="BC31" s="10">
        <f>IF(BB31&gt;0, BB31/BB$6*10000, 0)</f>
        <v>92.784272712216492</v>
      </c>
      <c r="BD31" s="10"/>
      <c r="BE31" s="10"/>
      <c r="BF31" s="10"/>
      <c r="BG31" s="17">
        <v>10</v>
      </c>
      <c r="BH31" s="40">
        <f>IF(BG31&gt;0, BG31/BG$6*2000, 0)</f>
        <v>37.453183520599254</v>
      </c>
      <c r="BI31" s="17"/>
      <c r="BJ31" s="17"/>
      <c r="BK31" s="3"/>
      <c r="BL31" s="1"/>
      <c r="BM31" s="1"/>
      <c r="BN31" s="1"/>
    </row>
    <row r="32" spans="1:85" s="4" customFormat="1" ht="20.100000000000001" customHeight="1" x14ac:dyDescent="0.25">
      <c r="A32" s="1"/>
      <c r="B32" s="1">
        <v>21</v>
      </c>
      <c r="C32" s="26">
        <v>26</v>
      </c>
      <c r="D32" s="1" t="str">
        <f>IF(C32&lt;B32,"▲"&amp;B32-C32,IF(C32&gt;B32,"▼"&amp;C32-B32,"—"))</f>
        <v>▼5</v>
      </c>
      <c r="E32" s="2" t="s">
        <v>36</v>
      </c>
      <c r="F32" s="27">
        <f>G32+O32+W32+AE32+BC32+BH32</f>
        <v>575.31112709979709</v>
      </c>
      <c r="G32" s="12">
        <f>IF(COUNTIF(H32:INDEX(H32:N32,$B$1),"&gt;0")=0,0,
(SUMIF(H32:INDEX(H32:N32,$B$1),"&gt;0",H32:INDEX(H32:N32,$B$1))*$B$1/COUNTIF(H32:INDEX(H32:N32,$B$1),"&gt;0"))*
IF($B$1-COUNTIF(H32:INDEX(H32:N32,$B$1),"&gt;0")&lt;=2,1,
IF($B$1-COUNTIF(H32:INDEX(H32:N32,$B$1),"&gt;0")=3,0.8,
IF($B$1-COUNTIF(H32:INDEX(H32:N32,$B$1),"&gt;0")=4,0.6,0))))</f>
        <v>352</v>
      </c>
      <c r="H32" s="3">
        <v>50</v>
      </c>
      <c r="I32" s="3">
        <v>123</v>
      </c>
      <c r="J32" s="3">
        <v>65</v>
      </c>
      <c r="K32" s="3">
        <v>53</v>
      </c>
      <c r="L32" s="3">
        <v>61</v>
      </c>
      <c r="M32" s="3"/>
      <c r="N32" s="3"/>
      <c r="O32" s="10">
        <f>0.2*IF(COUNTIF(P32:INDEX(P32:V32,$B$1),"&gt;0")=0,0,
(SUMIF(P32:INDEX(P32:V32,$B$1),"&gt;0",P32:INDEX(P32:V32,$B$1))*$B$1/COUNTIF(P32:INDEX(P32:V32,$B$1),"&gt;0"))*
IF($B$1-COUNTIF(P32:INDEX(P32:V32,$B$1),"&gt;0")&lt;=2,1,
IF($B$1-COUNTIF(P32:INDEX(P32:V32,$B$1),"&gt;0")=3,0.8,
IF($B$1-COUNTIF(P32:INDEX(P32:V32,$B$1),"&gt;0")=4,0.6,0))))</f>
        <v>59.2</v>
      </c>
      <c r="P32" s="3">
        <v>66</v>
      </c>
      <c r="Q32" s="3">
        <v>52</v>
      </c>
      <c r="R32" s="3">
        <v>60</v>
      </c>
      <c r="S32" s="3">
        <v>59</v>
      </c>
      <c r="T32" s="3">
        <v>59</v>
      </c>
      <c r="U32" s="3"/>
      <c r="V32" s="3"/>
      <c r="W32" s="3">
        <f>MIN(100,
IF($B$1&gt;=1,IFERROR(VALUE(SUBSTITUTE(SUBSTITUTE(TRIM(X32),"A",""),"B","")),0),0)+
IF($B$1&gt;=2,IFERROR(VALUE(SUBSTITUTE(SUBSTITUTE(TRIM(Y32),"A",""),"B","")),0),0)+
IF($B$1&gt;=3,IFERROR(VALUE(SUBSTITUTE(SUBSTITUTE(TRIM(Z32),"A",""),"B","")),0),0)+
IF($B$1&gt;=4,IFERROR(VALUE(SUBSTITUTE(SUBSTITUTE(TRIM(AA32),"A",""),"B","")),0),0)+
IF($B$1&gt;=5,IFERROR(VALUE(SUBSTITUTE(SUBSTITUTE(TRIM(AB32),"A",""),"B","")),0),0)+
IF($B$1&gt;=6,IFERROR(VALUE(SUBSTITUTE(SUBSTITUTE(TRIM(AC32),"A",""),"B","")),0),0)+
IF($B$1&gt;=7,IFERROR(VALUE(SUBSTITUTE(SUBSTITUTE(TRIM(AD32),"A",""),"B","")),0),0)
)</f>
        <v>0</v>
      </c>
      <c r="X32" s="3"/>
      <c r="Y32" s="3"/>
      <c r="Z32" s="3"/>
      <c r="AA32" s="3"/>
      <c r="AB32" s="3"/>
      <c r="AC32" s="3"/>
      <c r="AD32" s="3"/>
      <c r="AE32" s="19">
        <f>AH32+AK32+AN32+AQ32+AT32+AW32+AZ32</f>
        <v>0</v>
      </c>
      <c r="AF32" s="10"/>
      <c r="AG32" s="10">
        <f>SQRT(AF32)</f>
        <v>0</v>
      </c>
      <c r="AH32" s="10">
        <f>IF(AG32&gt;0,AG32/AG$6*1000, 0)</f>
        <v>0</v>
      </c>
      <c r="AI32" s="10"/>
      <c r="AJ32" s="10">
        <f>SQRT(AI32)</f>
        <v>0</v>
      </c>
      <c r="AK32" s="10">
        <f>IF(AJ32&gt;0,AJ32/AJ$6*1000, 0)</f>
        <v>0</v>
      </c>
      <c r="AL32" s="10"/>
      <c r="AM32" s="10">
        <f>SQRT(AL32)</f>
        <v>0</v>
      </c>
      <c r="AN32" s="10">
        <f>IF(AM32&gt;0,AM32/AM$6*1000, 0)</f>
        <v>0</v>
      </c>
      <c r="AO32" s="10"/>
      <c r="AP32" s="10"/>
      <c r="AQ32" s="10"/>
      <c r="AR32" s="10"/>
      <c r="AS32" s="10"/>
      <c r="AT32" s="10"/>
      <c r="AU32" s="10"/>
      <c r="AV32" s="10"/>
      <c r="AW32" s="10"/>
      <c r="AX32" s="17"/>
      <c r="AY32" s="10">
        <f>SQRT(AX32)</f>
        <v>0</v>
      </c>
      <c r="AZ32" s="21">
        <f>IF(AY32&gt;0, AY32/AY$6*1000, 0)</f>
        <v>0</v>
      </c>
      <c r="BA32" s="16">
        <v>0.31</v>
      </c>
      <c r="BB32" s="15">
        <f>SQRT(BA32)</f>
        <v>0.55677643628300222</v>
      </c>
      <c r="BC32" s="10">
        <f>IF(BB32&gt;0, BB32/BB$6*10000, 0)</f>
        <v>149.12985369155743</v>
      </c>
      <c r="BD32" s="10"/>
      <c r="BE32" s="10"/>
      <c r="BF32" s="10"/>
      <c r="BG32" s="17">
        <v>4</v>
      </c>
      <c r="BH32" s="40">
        <f>IF(BG32&gt;0, BG32/BG$6*2000, 0)</f>
        <v>14.9812734082397</v>
      </c>
      <c r="BI32" s="17"/>
      <c r="BJ32" s="17"/>
      <c r="BK32" s="3"/>
      <c r="BL32" s="1"/>
      <c r="BM32" s="1"/>
      <c r="BN32" s="1"/>
    </row>
    <row r="33" spans="1:66" s="4" customFormat="1" ht="20.100000000000001" customHeight="1" x14ac:dyDescent="0.25">
      <c r="A33" s="1"/>
      <c r="B33" s="1">
        <v>29</v>
      </c>
      <c r="C33" s="26">
        <v>27</v>
      </c>
      <c r="D33" s="1" t="str">
        <f>IF(C33&lt;B33,"▲"&amp;B33-C33,IF(C33&gt;B33,"▼"&amp;C33-B33,"—"))</f>
        <v>▲2</v>
      </c>
      <c r="E33" s="2" t="s">
        <v>44</v>
      </c>
      <c r="F33" s="27">
        <f>G33+O33+W33+AE33+BC33+BH33</f>
        <v>560.93212718854079</v>
      </c>
      <c r="G33" s="12">
        <f>IF(COUNTIF(H33:INDEX(H33:N33,$B$1),"&gt;0")=0,0,
(SUMIF(H33:INDEX(H33:N33,$B$1),"&gt;0",H33:INDEX(H33:N33,$B$1))*$B$1/COUNTIF(H33:INDEX(H33:N33,$B$1),"&gt;0"))*
IF($B$1-COUNTIF(H33:INDEX(H33:N33,$B$1),"&gt;0")&lt;=2,1,
IF($B$1-COUNTIF(H33:INDEX(H33:N33,$B$1),"&gt;0")=3,0.8,
IF($B$1-COUNTIF(H33:INDEX(H33:N33,$B$1),"&gt;0")=4,0.6,0))))</f>
        <v>206</v>
      </c>
      <c r="H33" s="3">
        <v>37</v>
      </c>
      <c r="I33" s="3">
        <v>41</v>
      </c>
      <c r="J33" s="3">
        <v>50</v>
      </c>
      <c r="K33" s="3">
        <v>41</v>
      </c>
      <c r="L33" s="3">
        <v>37</v>
      </c>
      <c r="M33" s="3"/>
      <c r="N33" s="3"/>
      <c r="O33" s="10">
        <f>0.2*IF(COUNTIF(P33:INDEX(P33:V33,$B$1),"&gt;0")=0,0,
(SUMIF(P33:INDEX(P33:V33,$B$1),"&gt;0",P33:INDEX(P33:V33,$B$1))*$B$1/COUNTIF(P33:INDEX(P33:V33,$B$1),"&gt;0"))*
IF($B$1-COUNTIF(P33:INDEX(P33:V33,$B$1),"&gt;0")&lt;=2,1,
IF($B$1-COUNTIF(P33:INDEX(P33:V33,$B$1),"&gt;0")=3,0.8,
IF($B$1-COUNTIF(P33:INDEX(P33:V33,$B$1),"&gt;0")=4,0.6,0))))</f>
        <v>84.600000000000009</v>
      </c>
      <c r="P33" s="3">
        <v>87</v>
      </c>
      <c r="Q33" s="3">
        <v>68</v>
      </c>
      <c r="R33" s="3">
        <v>90</v>
      </c>
      <c r="S33" s="3">
        <v>86</v>
      </c>
      <c r="T33" s="3">
        <v>92</v>
      </c>
      <c r="U33" s="3"/>
      <c r="V33" s="3"/>
      <c r="W33" s="3">
        <f>MIN(100,
IF($B$1&gt;=1,IFERROR(VALUE(SUBSTITUTE(SUBSTITUTE(TRIM(X33),"A",""),"B","")),0),0)+
IF($B$1&gt;=2,IFERROR(VALUE(SUBSTITUTE(SUBSTITUTE(TRIM(Y33),"A",""),"B","")),0),0)+
IF($B$1&gt;=3,IFERROR(VALUE(SUBSTITUTE(SUBSTITUTE(TRIM(Z33),"A",""),"B","")),0),0)+
IF($B$1&gt;=4,IFERROR(VALUE(SUBSTITUTE(SUBSTITUTE(TRIM(AA33),"A",""),"B","")),0),0)+
IF($B$1&gt;=5,IFERROR(VALUE(SUBSTITUTE(SUBSTITUTE(TRIM(AB33),"A",""),"B","")),0),0)+
IF($B$1&gt;=6,IFERROR(VALUE(SUBSTITUTE(SUBSTITUTE(TRIM(AC33),"A",""),"B","")),0),0)+
IF($B$1&gt;=7,IFERROR(VALUE(SUBSTITUTE(SUBSTITUTE(TRIM(AD33),"A",""),"B","")),0),0)
)</f>
        <v>90</v>
      </c>
      <c r="X33" s="3" t="s">
        <v>14</v>
      </c>
      <c r="Y33" s="3" t="s">
        <v>14</v>
      </c>
      <c r="Z33" s="3" t="s">
        <v>14</v>
      </c>
      <c r="AA33" s="3" t="s">
        <v>133</v>
      </c>
      <c r="AB33" s="3" t="s">
        <v>132</v>
      </c>
      <c r="AC33" s="3"/>
      <c r="AD33" s="3"/>
      <c r="AE33" s="19">
        <f>AH33+AK33+AN33+AQ33+AT33+AW33+AZ33</f>
        <v>46.354116545100275</v>
      </c>
      <c r="AF33" s="10">
        <v>2.8</v>
      </c>
      <c r="AG33" s="10">
        <f>SQRT(AF33)</f>
        <v>1.6733200530681511</v>
      </c>
      <c r="AH33" s="10">
        <f>IF(AG33&gt;0,AG33/AG$6*1000, 0)</f>
        <v>40.282600526847041</v>
      </c>
      <c r="AI33" s="10"/>
      <c r="AJ33" s="10">
        <f>SQRT(AI33)</f>
        <v>0</v>
      </c>
      <c r="AK33" s="10">
        <f>IF(AJ33&gt;0,AJ33/AJ$6*1000, 0)</f>
        <v>0</v>
      </c>
      <c r="AL33" s="10"/>
      <c r="AM33" s="10">
        <f>SQRT(AL33)</f>
        <v>0</v>
      </c>
      <c r="AN33" s="10">
        <f>IF(AM33&gt;0,AM33/AM$6*1000, 0)</f>
        <v>0</v>
      </c>
      <c r="AO33" s="10"/>
      <c r="AP33" s="10"/>
      <c r="AQ33" s="10"/>
      <c r="AR33" s="10"/>
      <c r="AS33" s="10"/>
      <c r="AT33" s="10"/>
      <c r="AU33" s="10"/>
      <c r="AV33" s="10"/>
      <c r="AW33" s="10"/>
      <c r="AX33" s="17">
        <v>3</v>
      </c>
      <c r="AY33" s="10">
        <f>SQRT(AX33)</f>
        <v>1.7320508075688772</v>
      </c>
      <c r="AZ33" s="21">
        <f>IF(AY33&gt;0, AY33/AY$6*1000, 0)</f>
        <v>6.0715160182532335</v>
      </c>
      <c r="BA33" s="16">
        <v>0.21</v>
      </c>
      <c r="BB33" s="15">
        <f>SQRT(BA33)</f>
        <v>0.45825756949558399</v>
      </c>
      <c r="BC33" s="10">
        <f>IF(BB33&gt;0, BB33/BB$6*10000, 0)</f>
        <v>122.74205558726067</v>
      </c>
      <c r="BD33" s="10"/>
      <c r="BE33" s="10"/>
      <c r="BF33" s="10"/>
      <c r="BG33" s="17">
        <v>3</v>
      </c>
      <c r="BH33" s="40">
        <f>IF(BG33&gt;0, BG33/BG$6*2000, 0)</f>
        <v>11.235955056179774</v>
      </c>
      <c r="BI33" s="17"/>
      <c r="BJ33" s="17"/>
      <c r="BK33" s="3"/>
      <c r="BL33" s="1"/>
      <c r="BM33" s="1"/>
      <c r="BN33" s="1"/>
    </row>
    <row r="34" spans="1:66" s="4" customFormat="1" ht="20.100000000000001" customHeight="1" x14ac:dyDescent="0.25">
      <c r="A34" s="1"/>
      <c r="B34" s="1">
        <v>27</v>
      </c>
      <c r="C34" s="26">
        <v>28</v>
      </c>
      <c r="D34" s="1" t="str">
        <f>IF(C34&lt;B34,"▲"&amp;B34-C34,IF(C34&gt;B34,"▼"&amp;C34-B34,"—"))</f>
        <v>▼1</v>
      </c>
      <c r="E34" s="2" t="s">
        <v>42</v>
      </c>
      <c r="F34" s="27">
        <f>G34+O34+W34+AE34+BC34+BH34</f>
        <v>550.12546834101965</v>
      </c>
      <c r="G34" s="12">
        <f>IF(COUNTIF(H34:INDEX(H34:N34,$B$1),"&gt;0")=0,0,
(SUMIF(H34:INDEX(H34:N34,$B$1),"&gt;0",H34:INDEX(H34:N34,$B$1))*$B$1/COUNTIF(H34:INDEX(H34:N34,$B$1),"&gt;0"))*
IF($B$1-COUNTIF(H34:INDEX(H34:N34,$B$1),"&gt;0")&lt;=2,1,
IF($B$1-COUNTIF(H34:INDEX(H34:N34,$B$1),"&gt;0")=3,0.8,
IF($B$1-COUNTIF(H34:INDEX(H34:N34,$B$1),"&gt;0")=4,0.6,0))))</f>
        <v>305</v>
      </c>
      <c r="H34" s="3">
        <v>61</v>
      </c>
      <c r="I34" s="3">
        <v>60</v>
      </c>
      <c r="J34" s="3">
        <v>54</v>
      </c>
      <c r="K34" s="3">
        <v>56</v>
      </c>
      <c r="L34" s="3">
        <v>74</v>
      </c>
      <c r="M34" s="3"/>
      <c r="N34" s="3"/>
      <c r="O34" s="10">
        <f>0.2*IF(COUNTIF(P34:INDEX(P34:V34,$B$1),"&gt;0")=0,0,
(SUMIF(P34:INDEX(P34:V34,$B$1),"&gt;0",P34:INDEX(P34:V34,$B$1))*$B$1/COUNTIF(P34:INDEX(P34:V34,$B$1),"&gt;0"))*
IF($B$1-COUNTIF(P34:INDEX(P34:V34,$B$1),"&gt;0")&lt;=2,1,
IF($B$1-COUNTIF(P34:INDEX(P34:V34,$B$1),"&gt;0")=3,0.8,
IF($B$1-COUNTIF(P34:INDEX(P34:V34,$B$1),"&gt;0")=4,0.6,0))))</f>
        <v>41.6</v>
      </c>
      <c r="P34" s="3">
        <v>53</v>
      </c>
      <c r="Q34" s="3">
        <v>35</v>
      </c>
      <c r="R34" s="3">
        <v>39</v>
      </c>
      <c r="S34" s="3">
        <v>35</v>
      </c>
      <c r="T34" s="3">
        <v>46</v>
      </c>
      <c r="U34" s="3"/>
      <c r="V34" s="3"/>
      <c r="W34" s="3">
        <f>MIN(100,
IF($B$1&gt;=1,IFERROR(VALUE(SUBSTITUTE(SUBSTITUTE(TRIM(X34),"A",""),"B","")),0),0)+
IF($B$1&gt;=2,IFERROR(VALUE(SUBSTITUTE(SUBSTITUTE(TRIM(Y34),"A",""),"B","")),0),0)+
IF($B$1&gt;=3,IFERROR(VALUE(SUBSTITUTE(SUBSTITUTE(TRIM(Z34),"A",""),"B","")),0),0)+
IF($B$1&gt;=4,IFERROR(VALUE(SUBSTITUTE(SUBSTITUTE(TRIM(AA34),"A",""),"B","")),0),0)+
IF($B$1&gt;=5,IFERROR(VALUE(SUBSTITUTE(SUBSTITUTE(TRIM(AB34),"A",""),"B","")),0),0)+
IF($B$1&gt;=6,IFERROR(VALUE(SUBSTITUTE(SUBSTITUTE(TRIM(AC34),"A",""),"B","")),0),0)+
IF($B$1&gt;=7,IFERROR(VALUE(SUBSTITUTE(SUBSTITUTE(TRIM(AD34),"A",""),"B","")),0),0)
)</f>
        <v>90</v>
      </c>
      <c r="X34" s="3" t="s">
        <v>17</v>
      </c>
      <c r="Y34" s="3" t="s">
        <v>17</v>
      </c>
      <c r="Z34" s="3" t="s">
        <v>34</v>
      </c>
      <c r="AA34" s="3" t="s">
        <v>134</v>
      </c>
      <c r="AB34" s="3" t="s">
        <v>134</v>
      </c>
      <c r="AC34" s="3"/>
      <c r="AD34" s="3"/>
      <c r="AE34" s="19">
        <f>AH34+AK34+AN34+AQ34+AT34+AW34+AZ34</f>
        <v>44.171761566689433</v>
      </c>
      <c r="AF34" s="10"/>
      <c r="AG34" s="10">
        <f>SQRT(AF34)</f>
        <v>0</v>
      </c>
      <c r="AH34" s="10">
        <f>IF(AG34&gt;0,AG34/AG$6*1000, 0)</f>
        <v>0</v>
      </c>
      <c r="AI34" s="10">
        <v>0.2</v>
      </c>
      <c r="AJ34" s="10">
        <f>SQRT(AI34)</f>
        <v>0.44721359549995793</v>
      </c>
      <c r="AK34" s="10">
        <f>IF(AJ34&gt;0,AJ34/AJ$6*1000, 0)</f>
        <v>12.623238898940771</v>
      </c>
      <c r="AL34" s="10"/>
      <c r="AM34" s="10">
        <f>SQRT(AL34)</f>
        <v>0</v>
      </c>
      <c r="AN34" s="10">
        <f>IF(AM34&gt;0,AM34/AM$6*1000, 0)</f>
        <v>0</v>
      </c>
      <c r="AO34" s="10"/>
      <c r="AP34" s="10"/>
      <c r="AQ34" s="10"/>
      <c r="AR34" s="10"/>
      <c r="AS34" s="10"/>
      <c r="AT34" s="10"/>
      <c r="AU34" s="10"/>
      <c r="AV34" s="10"/>
      <c r="AW34" s="10"/>
      <c r="AX34" s="17">
        <v>81</v>
      </c>
      <c r="AY34" s="10">
        <f>SQRT(AX34)</f>
        <v>9</v>
      </c>
      <c r="AZ34" s="21">
        <f>IF(AY34&gt;0, AY34/AY$6*1000, 0)</f>
        <v>31.548522667748664</v>
      </c>
      <c r="BA34" s="16">
        <v>0.06</v>
      </c>
      <c r="BB34" s="15">
        <f>SQRT(BA34)</f>
        <v>0.2449489742783178</v>
      </c>
      <c r="BC34" s="10">
        <f>IF(BB34&gt;0, BB34/BB$6*10000, 0)</f>
        <v>65.608388422270224</v>
      </c>
      <c r="BD34" s="10"/>
      <c r="BE34" s="10"/>
      <c r="BF34" s="10"/>
      <c r="BG34" s="17">
        <v>1</v>
      </c>
      <c r="BH34" s="40">
        <f>IF(BG34&gt;0, BG34/BG$6*2000, 0)</f>
        <v>3.7453183520599249</v>
      </c>
      <c r="BI34" s="17"/>
      <c r="BJ34" s="17"/>
      <c r="BK34" s="3"/>
      <c r="BL34" s="1"/>
      <c r="BM34" s="1"/>
      <c r="BN34" s="1"/>
    </row>
    <row r="35" spans="1:66" s="4" customFormat="1" ht="20.100000000000001" customHeight="1" x14ac:dyDescent="0.25">
      <c r="A35" s="1"/>
      <c r="B35" s="1">
        <v>26</v>
      </c>
      <c r="C35" s="26">
        <v>29</v>
      </c>
      <c r="D35" s="1" t="str">
        <f>IF(C35&lt;B35,"▲"&amp;B35-C35,IF(C35&gt;B35,"▼"&amp;C35-B35,"—"))</f>
        <v>▼3</v>
      </c>
      <c r="E35" s="2" t="s">
        <v>41</v>
      </c>
      <c r="F35" s="27">
        <f>G35+O35+W35+AE35+BC35+BH35</f>
        <v>548.61446520514914</v>
      </c>
      <c r="G35" s="12">
        <f>IF(COUNTIF(H35:INDEX(H35:N35,$B$1),"&gt;0")=0,0,
(SUMIF(H35:INDEX(H35:N35,$B$1),"&gt;0",H35:INDEX(H35:N35,$B$1))*$B$1/COUNTIF(H35:INDEX(H35:N35,$B$1),"&gt;0"))*
IF($B$1-COUNTIF(H35:INDEX(H35:N35,$B$1),"&gt;0")&lt;=2,1,
IF($B$1-COUNTIF(H35:INDEX(H35:N35,$B$1),"&gt;0")=3,0.8,
IF($B$1-COUNTIF(H35:INDEX(H35:N35,$B$1),"&gt;0")=4,0.6,0))))</f>
        <v>283</v>
      </c>
      <c r="H35" s="3">
        <v>74</v>
      </c>
      <c r="I35" s="3">
        <v>70</v>
      </c>
      <c r="J35" s="3">
        <v>53</v>
      </c>
      <c r="K35" s="3">
        <v>41</v>
      </c>
      <c r="L35" s="3">
        <v>45</v>
      </c>
      <c r="M35" s="3"/>
      <c r="N35" s="3"/>
      <c r="O35" s="10">
        <f>0.2*IF(COUNTIF(P35:INDEX(P35:V35,$B$1),"&gt;0")=0,0,
(SUMIF(P35:INDEX(P35:V35,$B$1),"&gt;0",P35:INDEX(P35:V35,$B$1))*$B$1/COUNTIF(P35:INDEX(P35:V35,$B$1),"&gt;0"))*
IF($B$1-COUNTIF(P35:INDEX(P35:V35,$B$1),"&gt;0")&lt;=2,1,
IF($B$1-COUNTIF(P35:INDEX(P35:V35,$B$1),"&gt;0")=3,0.8,
IF($B$1-COUNTIF(P35:INDEX(P35:V35,$B$1),"&gt;0")=4,0.6,0))))</f>
        <v>35.200000000000003</v>
      </c>
      <c r="P35" s="3">
        <v>35</v>
      </c>
      <c r="Q35" s="3">
        <v>31</v>
      </c>
      <c r="R35" s="3">
        <v>39</v>
      </c>
      <c r="S35" s="3">
        <v>37</v>
      </c>
      <c r="T35" s="3">
        <v>34</v>
      </c>
      <c r="U35" s="3"/>
      <c r="V35" s="3"/>
      <c r="W35" s="3">
        <f>MIN(100,
IF($B$1&gt;=1,IFERROR(VALUE(SUBSTITUTE(SUBSTITUTE(TRIM(X35),"A",""),"B","")),0),0)+
IF($B$1&gt;=2,IFERROR(VALUE(SUBSTITUTE(SUBSTITUTE(TRIM(Y35),"A",""),"B","")),0),0)+
IF($B$1&gt;=3,IFERROR(VALUE(SUBSTITUTE(SUBSTITUTE(TRIM(Z35),"A",""),"B","")),0),0)+
IF($B$1&gt;=4,IFERROR(VALUE(SUBSTITUTE(SUBSTITUTE(TRIM(AA35),"A",""),"B","")),0),0)+
IF($B$1&gt;=5,IFERROR(VALUE(SUBSTITUTE(SUBSTITUTE(TRIM(AB35),"A",""),"B","")),0),0)+
IF($B$1&gt;=6,IFERROR(VALUE(SUBSTITUTE(SUBSTITUTE(TRIM(AC35),"A",""),"B","")),0),0)+
IF($B$1&gt;=7,IFERROR(VALUE(SUBSTITUTE(SUBSTITUTE(TRIM(AD35),"A",""),"B","")),0),0)
)</f>
        <v>60</v>
      </c>
      <c r="X35" s="3" t="s">
        <v>17</v>
      </c>
      <c r="Y35" s="3" t="s">
        <v>17</v>
      </c>
      <c r="Z35" s="3"/>
      <c r="AA35" s="3"/>
      <c r="AB35" s="3" t="s">
        <v>134</v>
      </c>
      <c r="AC35" s="3"/>
      <c r="AD35" s="3"/>
      <c r="AE35" s="19">
        <f>AH35+AK35+AN35+AQ35+AT35+AW35+AZ35</f>
        <v>0</v>
      </c>
      <c r="AF35" s="10"/>
      <c r="AG35" s="10">
        <f>SQRT(AF35)</f>
        <v>0</v>
      </c>
      <c r="AH35" s="10">
        <f>IF(AG35&gt;0,AG35/AG$6*1000, 0)</f>
        <v>0</v>
      </c>
      <c r="AI35" s="10"/>
      <c r="AJ35" s="10">
        <f>SQRT(AI35)</f>
        <v>0</v>
      </c>
      <c r="AK35" s="10">
        <f>IF(AJ35&gt;0,AJ35/AJ$6*1000, 0)</f>
        <v>0</v>
      </c>
      <c r="AL35" s="10"/>
      <c r="AM35" s="10">
        <f>SQRT(AL35)</f>
        <v>0</v>
      </c>
      <c r="AN35" s="10">
        <f>IF(AM35&gt;0,AM35/AM$6*1000, 0)</f>
        <v>0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7"/>
      <c r="AY35" s="10">
        <f>SQRT(AX35)</f>
        <v>0</v>
      </c>
      <c r="AZ35" s="21">
        <f>IF(AY35&gt;0, AY35/AY$6*1000, 0)</f>
        <v>0</v>
      </c>
      <c r="BA35" s="16">
        <v>0.37</v>
      </c>
      <c r="BB35" s="15">
        <f>SQRT(BA35)</f>
        <v>0.60827625302982191</v>
      </c>
      <c r="BC35" s="10">
        <f>IF(BB35&gt;0, BB35/BB$6*10000, 0)</f>
        <v>162.92382850102931</v>
      </c>
      <c r="BD35" s="10"/>
      <c r="BE35" s="10"/>
      <c r="BF35" s="10"/>
      <c r="BG35" s="17">
        <v>2</v>
      </c>
      <c r="BH35" s="40">
        <f>IF(BG35&gt;0, BG35/BG$6*2000, 0)</f>
        <v>7.4906367041198498</v>
      </c>
      <c r="BI35" s="17"/>
      <c r="BJ35" s="17"/>
      <c r="BK35" s="3"/>
      <c r="BL35" s="1"/>
      <c r="BM35" s="1"/>
      <c r="BN35" s="1"/>
    </row>
    <row r="36" spans="1:66" s="4" customFormat="1" ht="20.100000000000001" customHeight="1" x14ac:dyDescent="0.25">
      <c r="A36" s="1"/>
      <c r="B36" s="1">
        <v>35</v>
      </c>
      <c r="C36" s="26">
        <v>30</v>
      </c>
      <c r="D36" s="1" t="str">
        <f>IF(C36&lt;B36,"▲"&amp;B36-C36,IF(C36&gt;B36,"▼"&amp;C36-B36,"—"))</f>
        <v>▲5</v>
      </c>
      <c r="E36" s="2" t="s">
        <v>50</v>
      </c>
      <c r="F36" s="27">
        <f>G36+O36+W36+AE36+BC36+BH36</f>
        <v>541.30150974317564</v>
      </c>
      <c r="G36" s="12">
        <f>IF(COUNTIF(H36:INDEX(H36:N36,$B$1),"&gt;0")=0,0,
(SUMIF(H36:INDEX(H36:N36,$B$1),"&gt;0",H36:INDEX(H36:N36,$B$1))*$B$1/COUNTIF(H36:INDEX(H36:N36,$B$1),"&gt;0"))*
IF($B$1-COUNTIF(H36:INDEX(H36:N36,$B$1),"&gt;0")&lt;=2,1,
IF($B$1-COUNTIF(H36:INDEX(H36:N36,$B$1),"&gt;0")=3,0.8,
IF($B$1-COUNTIF(H36:INDEX(H36:N36,$B$1),"&gt;0")=4,0.6,0))))</f>
        <v>272</v>
      </c>
      <c r="H36" s="3">
        <v>54</v>
      </c>
      <c r="I36" s="3">
        <v>56</v>
      </c>
      <c r="J36" s="3">
        <v>52</v>
      </c>
      <c r="K36" s="3">
        <v>55</v>
      </c>
      <c r="L36" s="3">
        <v>55</v>
      </c>
      <c r="M36" s="3"/>
      <c r="N36" s="3"/>
      <c r="O36" s="10">
        <f>0.2*IF(COUNTIF(P36:INDEX(P36:V36,$B$1),"&gt;0")=0,0,
(SUMIF(P36:INDEX(P36:V36,$B$1),"&gt;0",P36:INDEX(P36:V36,$B$1))*$B$1/COUNTIF(P36:INDEX(P36:V36,$B$1),"&gt;0"))*
IF($B$1-COUNTIF(P36:INDEX(P36:V36,$B$1),"&gt;0")&lt;=2,1,
IF($B$1-COUNTIF(P36:INDEX(P36:V36,$B$1),"&gt;0")=3,0.8,
IF($B$1-COUNTIF(P36:INDEX(P36:V36,$B$1),"&gt;0")=4,0.6,0))))</f>
        <v>28.200000000000003</v>
      </c>
      <c r="P36" s="3">
        <v>27</v>
      </c>
      <c r="Q36" s="3">
        <v>27</v>
      </c>
      <c r="R36" s="3">
        <v>30</v>
      </c>
      <c r="S36" s="3">
        <v>30</v>
      </c>
      <c r="T36" s="3">
        <v>27</v>
      </c>
      <c r="U36" s="3"/>
      <c r="V36" s="3"/>
      <c r="W36" s="3">
        <f>MIN(100,
IF($B$1&gt;=1,IFERROR(VALUE(SUBSTITUTE(SUBSTITUTE(TRIM(X36),"A",""),"B","")),0),0)+
IF($B$1&gt;=2,IFERROR(VALUE(SUBSTITUTE(SUBSTITUTE(TRIM(Y36),"A",""),"B","")),0),0)+
IF($B$1&gt;=3,IFERROR(VALUE(SUBSTITUTE(SUBSTITUTE(TRIM(Z36),"A",""),"B","")),0),0)+
IF($B$1&gt;=4,IFERROR(VALUE(SUBSTITUTE(SUBSTITUTE(TRIM(AA36),"A",""),"B","")),0),0)+
IF($B$1&gt;=5,IFERROR(VALUE(SUBSTITUTE(SUBSTITUTE(TRIM(AB36),"A",""),"B","")),0),0)+
IF($B$1&gt;=6,IFERROR(VALUE(SUBSTITUTE(SUBSTITUTE(TRIM(AC36),"A",""),"B","")),0),0)+
IF($B$1&gt;=7,IFERROR(VALUE(SUBSTITUTE(SUBSTITUTE(TRIM(AD36),"A",""),"B","")),0),0)
)</f>
        <v>80</v>
      </c>
      <c r="X36" s="3"/>
      <c r="Y36" s="3" t="s">
        <v>17</v>
      </c>
      <c r="Z36" s="3" t="s">
        <v>17</v>
      </c>
      <c r="AA36" s="3" t="s">
        <v>134</v>
      </c>
      <c r="AB36" s="3" t="s">
        <v>134</v>
      </c>
      <c r="AC36" s="3"/>
      <c r="AD36" s="3"/>
      <c r="AE36" s="19">
        <f>AH36+AK36+AN36+AQ36+AT36+AW36+AZ36</f>
        <v>30.920494203657036</v>
      </c>
      <c r="AF36" s="10"/>
      <c r="AG36" s="10">
        <f>SQRT(AF36)</f>
        <v>0</v>
      </c>
      <c r="AH36" s="10">
        <f>IF(AG36&gt;0,AG36/AG$6*1000, 0)</f>
        <v>0</v>
      </c>
      <c r="AI36" s="10">
        <v>1.2</v>
      </c>
      <c r="AJ36" s="10">
        <f>SQRT(AI36)</f>
        <v>1.0954451150103321</v>
      </c>
      <c r="AK36" s="10">
        <f>IF(AJ36&gt;0,AJ36/AJ$6*1000, 0)</f>
        <v>30.920494203657036</v>
      </c>
      <c r="AL36" s="10"/>
      <c r="AM36" s="10">
        <f>SQRT(AL36)</f>
        <v>0</v>
      </c>
      <c r="AN36" s="10">
        <f>IF(AM36&gt;0,AM36/AM$6*1000, 0)</f>
        <v>0</v>
      </c>
      <c r="AO36" s="10"/>
      <c r="AP36" s="10"/>
      <c r="AQ36" s="10"/>
      <c r="AR36" s="10"/>
      <c r="AS36" s="10"/>
      <c r="AT36" s="10"/>
      <c r="AU36" s="10"/>
      <c r="AV36" s="10"/>
      <c r="AW36" s="10"/>
      <c r="AX36" s="17"/>
      <c r="AY36" s="10">
        <f>SQRT(AX36)</f>
        <v>0</v>
      </c>
      <c r="AZ36" s="21">
        <f>IF(AY36&gt;0, AY36/AY$6*1000, 0)</f>
        <v>0</v>
      </c>
      <c r="BA36" s="16">
        <v>0.14000000000000001</v>
      </c>
      <c r="BB36" s="15">
        <f>SQRT(BA36)</f>
        <v>0.37416573867739417</v>
      </c>
      <c r="BC36" s="10">
        <f>IF(BB36&gt;0, BB36/BB$6*10000, 0)</f>
        <v>100.21846872303922</v>
      </c>
      <c r="BD36" s="10"/>
      <c r="BE36" s="10"/>
      <c r="BF36" s="10"/>
      <c r="BG36" s="17">
        <v>8</v>
      </c>
      <c r="BH36" s="40">
        <f>IF(BG36&gt;0, BG36/BG$6*2000, 0)</f>
        <v>29.962546816479399</v>
      </c>
      <c r="BI36" s="17"/>
      <c r="BJ36" s="17"/>
      <c r="BK36" s="3"/>
      <c r="BL36" s="1"/>
      <c r="BM36" s="1"/>
      <c r="BN36" s="1"/>
    </row>
    <row r="37" spans="1:66" s="4" customFormat="1" ht="20.100000000000001" customHeight="1" x14ac:dyDescent="0.25">
      <c r="A37" s="1"/>
      <c r="B37" s="1">
        <v>37</v>
      </c>
      <c r="C37" s="26">
        <v>31</v>
      </c>
      <c r="D37" s="1" t="str">
        <f>IF(C37&lt;B37,"▲"&amp;B37-C37,IF(C37&gt;B37,"▼"&amp;C37-B37,"—"))</f>
        <v>▲6</v>
      </c>
      <c r="E37" s="2" t="s">
        <v>52</v>
      </c>
      <c r="F37" s="27">
        <f>G37+O37+W37+AE37+BC37+BH37</f>
        <v>533.45524315964133</v>
      </c>
      <c r="G37" s="12">
        <f>IF(COUNTIF(H37:INDEX(H37:N37,$B$1),"&gt;0")=0,0,
(SUMIF(H37:INDEX(H37:N37,$B$1),"&gt;0",H37:INDEX(H37:N37,$B$1))*$B$1/COUNTIF(H37:INDEX(H37:N37,$B$1),"&gt;0"))*
IF($B$1-COUNTIF(H37:INDEX(H37:N37,$B$1),"&gt;0")&lt;=2,1,
IF($B$1-COUNTIF(H37:INDEX(H37:N37,$B$1),"&gt;0")=3,0.8,
IF($B$1-COUNTIF(H37:INDEX(H37:N37,$B$1),"&gt;0")=4,0.6,0))))</f>
        <v>272</v>
      </c>
      <c r="H37" s="3">
        <v>65</v>
      </c>
      <c r="I37" s="3">
        <v>55</v>
      </c>
      <c r="J37" s="3">
        <v>63</v>
      </c>
      <c r="K37" s="3">
        <v>48</v>
      </c>
      <c r="L37" s="3">
        <v>41</v>
      </c>
      <c r="M37" s="3"/>
      <c r="N37" s="3"/>
      <c r="O37" s="10">
        <f>0.2*IF(COUNTIF(P37:INDEX(P37:V37,$B$1),"&gt;0")=0,0,
(SUMIF(P37:INDEX(P37:V37,$B$1),"&gt;0",P37:INDEX(P37:V37,$B$1))*$B$1/COUNTIF(P37:INDEX(P37:V37,$B$1),"&gt;0"))*
IF($B$1-COUNTIF(P37:INDEX(P37:V37,$B$1),"&gt;0")&lt;=2,1,
IF($B$1-COUNTIF(P37:INDEX(P37:V37,$B$1),"&gt;0")=3,0.8,
IF($B$1-COUNTIF(P37:INDEX(P37:V37,$B$1),"&gt;0")=4,0.6,0))))</f>
        <v>44.6</v>
      </c>
      <c r="P37" s="3">
        <v>48</v>
      </c>
      <c r="Q37" s="3">
        <v>39</v>
      </c>
      <c r="R37" s="3">
        <v>49</v>
      </c>
      <c r="S37" s="3">
        <v>47</v>
      </c>
      <c r="T37" s="3">
        <v>40</v>
      </c>
      <c r="U37" s="3"/>
      <c r="V37" s="3"/>
      <c r="W37" s="3">
        <f>MIN(100,
IF($B$1&gt;=1,IFERROR(VALUE(SUBSTITUTE(SUBSTITUTE(TRIM(X37),"A",""),"B","")),0),0)+
IF($B$1&gt;=2,IFERROR(VALUE(SUBSTITUTE(SUBSTITUTE(TRIM(Y37),"A",""),"B","")),0),0)+
IF($B$1&gt;=3,IFERROR(VALUE(SUBSTITUTE(SUBSTITUTE(TRIM(Z37),"A",""),"B","")),0),0)+
IF($B$1&gt;=4,IFERROR(VALUE(SUBSTITUTE(SUBSTITUTE(TRIM(AA37),"A",""),"B","")),0),0)+
IF($B$1&gt;=5,IFERROR(VALUE(SUBSTITUTE(SUBSTITUTE(TRIM(AB37),"A",""),"B","")),0),0)+
IF($B$1&gt;=6,IFERROR(VALUE(SUBSTITUTE(SUBSTITUTE(TRIM(AC37),"A",""),"B","")),0),0)+
IF($B$1&gt;=7,IFERROR(VALUE(SUBSTITUTE(SUBSTITUTE(TRIM(AD37),"A",""),"B","")),0),0)
)</f>
        <v>20</v>
      </c>
      <c r="X37" s="3"/>
      <c r="Y37" s="3"/>
      <c r="Z37" s="3"/>
      <c r="AA37" s="3"/>
      <c r="AB37" s="3" t="s">
        <v>132</v>
      </c>
      <c r="AC37" s="3"/>
      <c r="AD37" s="3"/>
      <c r="AE37" s="19">
        <f>AH37+AK37+AN37+AQ37+AT37+AW37+AZ37</f>
        <v>42.651076776667985</v>
      </c>
      <c r="AF37" s="10">
        <v>0.9</v>
      </c>
      <c r="AG37" s="10">
        <f>SQRT(AF37)</f>
        <v>0.94868329805051377</v>
      </c>
      <c r="AH37" s="10">
        <f>IF(AG37&gt;0,AG37/AG$6*1000, 0)</f>
        <v>22.838087819356442</v>
      </c>
      <c r="AI37" s="10"/>
      <c r="AJ37" s="10">
        <f>SQRT(AI37)</f>
        <v>0</v>
      </c>
      <c r="AK37" s="10">
        <f>IF(AJ37&gt;0,AJ37/AJ$6*1000, 0)</f>
        <v>0</v>
      </c>
      <c r="AL37" s="10">
        <v>0.1</v>
      </c>
      <c r="AM37" s="10">
        <f>SQRT(AL37)</f>
        <v>0.31622776601683794</v>
      </c>
      <c r="AN37" s="10">
        <f>IF(AM37&gt;0,AM37/AM$6*1000, 0)</f>
        <v>12.802206142256285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7">
        <v>4</v>
      </c>
      <c r="AY37" s="10">
        <f>SQRT(AX37)</f>
        <v>2</v>
      </c>
      <c r="AZ37" s="21">
        <f>IF(AY37&gt;0, AY37/AY$6*1000, 0)</f>
        <v>7.0107828150552596</v>
      </c>
      <c r="BA37" s="16">
        <v>0.19</v>
      </c>
      <c r="BB37" s="15">
        <f>SQRT(BA37)</f>
        <v>0.43588989435406733</v>
      </c>
      <c r="BC37" s="10">
        <f>IF(BB37&gt;0, BB37/BB$6*10000, 0)</f>
        <v>116.75098286237406</v>
      </c>
      <c r="BD37" s="10"/>
      <c r="BE37" s="10"/>
      <c r="BF37" s="10"/>
      <c r="BG37" s="17">
        <v>10</v>
      </c>
      <c r="BH37" s="40">
        <f>IF(BG37&gt;0, BG37/BG$6*2000, 0)</f>
        <v>37.453183520599254</v>
      </c>
      <c r="BI37" s="17"/>
      <c r="BJ37" s="17"/>
      <c r="BK37" s="3"/>
      <c r="BL37" s="1"/>
      <c r="BM37" s="1"/>
      <c r="BN37" s="1"/>
    </row>
    <row r="38" spans="1:66" s="4" customFormat="1" ht="20.100000000000001" customHeight="1" x14ac:dyDescent="0.25">
      <c r="A38" s="1"/>
      <c r="B38" s="1">
        <v>40</v>
      </c>
      <c r="C38" s="26">
        <v>32</v>
      </c>
      <c r="D38" s="1" t="str">
        <f>IF(C38&lt;B38,"▲"&amp;B38-C38,IF(C38&gt;B38,"▼"&amp;C38-B38,"—"))</f>
        <v>▲8</v>
      </c>
      <c r="E38" s="2" t="s">
        <v>55</v>
      </c>
      <c r="F38" s="27">
        <f>G38+O38+W38+AE38+BC38+BH38</f>
        <v>529.63741514465778</v>
      </c>
      <c r="G38" s="12">
        <f>IF(COUNTIF(H38:INDEX(H38:N38,$B$1),"&gt;0")=0,0,
(SUMIF(H38:INDEX(H38:N38,$B$1),"&gt;0",H38:INDEX(H38:N38,$B$1))*$B$1/COUNTIF(H38:INDEX(H38:N38,$B$1),"&gt;0"))*
IF($B$1-COUNTIF(H38:INDEX(H38:N38,$B$1),"&gt;0")&lt;=2,1,
IF($B$1-COUNTIF(H38:INDEX(H38:N38,$B$1),"&gt;0")=3,0.8,
IF($B$1-COUNTIF(H38:INDEX(H38:N38,$B$1),"&gt;0")=4,0.6,0))))</f>
        <v>207</v>
      </c>
      <c r="H38" s="3">
        <v>37</v>
      </c>
      <c r="I38" s="3">
        <v>38</v>
      </c>
      <c r="J38" s="3">
        <v>51</v>
      </c>
      <c r="K38" s="3">
        <v>42</v>
      </c>
      <c r="L38" s="3">
        <v>39</v>
      </c>
      <c r="M38" s="3"/>
      <c r="N38" s="3"/>
      <c r="O38" s="10">
        <f>0.2*IF(COUNTIF(P38:INDEX(P38:V38,$B$1),"&gt;0")=0,0,
(SUMIF(P38:INDEX(P38:V38,$B$1),"&gt;0",P38:INDEX(P38:V38,$B$1))*$B$1/COUNTIF(P38:INDEX(P38:V38,$B$1),"&gt;0"))*
IF($B$1-COUNTIF(P38:INDEX(P38:V38,$B$1),"&gt;0")&lt;=2,1,
IF($B$1-COUNTIF(P38:INDEX(P38:V38,$B$1),"&gt;0")=3,0.8,
IF($B$1-COUNTIF(P38:INDEX(P38:V38,$B$1),"&gt;0")=4,0.6,0))))</f>
        <v>48.800000000000004</v>
      </c>
      <c r="P38" s="3">
        <v>51</v>
      </c>
      <c r="Q38" s="3">
        <v>42</v>
      </c>
      <c r="R38" s="3">
        <v>51</v>
      </c>
      <c r="S38" s="3">
        <v>52</v>
      </c>
      <c r="T38" s="3">
        <v>48</v>
      </c>
      <c r="U38" s="3"/>
      <c r="V38" s="3"/>
      <c r="W38" s="3">
        <f>MIN(100,
IF($B$1&gt;=1,IFERROR(VALUE(SUBSTITUTE(SUBSTITUTE(TRIM(X38),"A",""),"B","")),0),0)+
IF($B$1&gt;=2,IFERROR(VALUE(SUBSTITUTE(SUBSTITUTE(TRIM(Y38),"A",""),"B","")),0),0)+
IF($B$1&gt;=3,IFERROR(VALUE(SUBSTITUTE(SUBSTITUTE(TRIM(Z38),"A",""),"B","")),0),0)+
IF($B$1&gt;=4,IFERROR(VALUE(SUBSTITUTE(SUBSTITUTE(TRIM(AA38),"A",""),"B","")),0),0)+
IF($B$1&gt;=5,IFERROR(VALUE(SUBSTITUTE(SUBSTITUTE(TRIM(AB38),"A",""),"B","")),0),0)+
IF($B$1&gt;=6,IFERROR(VALUE(SUBSTITUTE(SUBSTITUTE(TRIM(AC38),"A",""),"B","")),0),0)+
IF($B$1&gt;=7,IFERROR(VALUE(SUBSTITUTE(SUBSTITUTE(TRIM(AD38),"A",""),"B","")),0),0)
)</f>
        <v>90</v>
      </c>
      <c r="X38" s="3" t="s">
        <v>31</v>
      </c>
      <c r="Y38" s="3" t="s">
        <v>14</v>
      </c>
      <c r="Z38" s="3" t="s">
        <v>14</v>
      </c>
      <c r="AA38" s="3" t="s">
        <v>132</v>
      </c>
      <c r="AB38" s="3" t="s">
        <v>132</v>
      </c>
      <c r="AC38" s="3"/>
      <c r="AD38" s="3"/>
      <c r="AE38" s="19">
        <f>AH38+AK38+AN38+AQ38+AT38+AW38+AZ38</f>
        <v>0</v>
      </c>
      <c r="AF38" s="10"/>
      <c r="AG38" s="10">
        <f>SQRT(AF38)</f>
        <v>0</v>
      </c>
      <c r="AH38" s="10">
        <f>IF(AG38&gt;0,AG38/AG$6*1000, 0)</f>
        <v>0</v>
      </c>
      <c r="AI38" s="10"/>
      <c r="AJ38" s="10">
        <f>SQRT(AI38)</f>
        <v>0</v>
      </c>
      <c r="AK38" s="10">
        <f>IF(AJ38&gt;0,AJ38/AJ$6*1000, 0)</f>
        <v>0</v>
      </c>
      <c r="AL38" s="10"/>
      <c r="AM38" s="10">
        <f>SQRT(AL38)</f>
        <v>0</v>
      </c>
      <c r="AN38" s="10">
        <f>IF(AM38&gt;0,AM38/AM$6*1000, 0)</f>
        <v>0</v>
      </c>
      <c r="AO38" s="10"/>
      <c r="AP38" s="10"/>
      <c r="AQ38" s="10"/>
      <c r="AR38" s="10"/>
      <c r="AS38" s="10"/>
      <c r="AT38" s="10"/>
      <c r="AU38" s="10"/>
      <c r="AV38" s="10"/>
      <c r="AW38" s="10"/>
      <c r="AX38" s="17"/>
      <c r="AY38" s="10">
        <f>SQRT(AX38)</f>
        <v>0</v>
      </c>
      <c r="AZ38" s="21">
        <f>IF(AY38&gt;0, AY38/AY$6*1000, 0)</f>
        <v>0</v>
      </c>
      <c r="BA38" s="16">
        <v>0.38</v>
      </c>
      <c r="BB38" s="15">
        <f>SQRT(BA38)</f>
        <v>0.61644140029689765</v>
      </c>
      <c r="BC38" s="10">
        <f>IF(BB38&gt;0, BB38/BB$6*10000, 0)</f>
        <v>165.11082338435818</v>
      </c>
      <c r="BD38" s="10"/>
      <c r="BE38" s="10"/>
      <c r="BF38" s="10"/>
      <c r="BG38" s="17">
        <v>5</v>
      </c>
      <c r="BH38" s="40">
        <f>IF(BG38&gt;0, BG38/BG$6*2000, 0)</f>
        <v>18.726591760299627</v>
      </c>
      <c r="BI38" s="17"/>
      <c r="BJ38" s="17"/>
      <c r="BK38" s="3"/>
      <c r="BL38" s="1"/>
      <c r="BM38" s="1"/>
      <c r="BN38" s="1"/>
    </row>
    <row r="39" spans="1:66" s="4" customFormat="1" ht="20.100000000000001" customHeight="1" x14ac:dyDescent="0.25">
      <c r="A39" s="1"/>
      <c r="B39" s="1">
        <v>44</v>
      </c>
      <c r="C39" s="26">
        <v>33</v>
      </c>
      <c r="D39" s="1" t="str">
        <f>IF(C39&lt;B39,"▲"&amp;B39-C39,IF(C39&gt;B39,"▼"&amp;C39-B39,"—"))</f>
        <v>▲11</v>
      </c>
      <c r="E39" s="2" t="s">
        <v>59</v>
      </c>
      <c r="F39" s="27">
        <f>G39+O39+W39+AE39+BC39+BH39</f>
        <v>496.05624208975416</v>
      </c>
      <c r="G39" s="12">
        <f>IF(COUNTIF(H39:INDEX(H39:N39,$B$1),"&gt;0")=0,0,
(SUMIF(H39:INDEX(H39:N39,$B$1),"&gt;0",H39:INDEX(H39:N39,$B$1))*$B$1/COUNTIF(H39:INDEX(H39:N39,$B$1),"&gt;0"))*
IF($B$1-COUNTIF(H39:INDEX(H39:N39,$B$1),"&gt;0")&lt;=2,1,
IF($B$1-COUNTIF(H39:INDEX(H39:N39,$B$1),"&gt;0")=3,0.8,
IF($B$1-COUNTIF(H39:INDEX(H39:N39,$B$1),"&gt;0")=4,0.6,0))))</f>
        <v>281</v>
      </c>
      <c r="H39" s="3">
        <v>76</v>
      </c>
      <c r="I39" s="3">
        <v>43</v>
      </c>
      <c r="J39" s="3">
        <v>44</v>
      </c>
      <c r="K39" s="3">
        <v>56</v>
      </c>
      <c r="L39" s="3">
        <v>62</v>
      </c>
      <c r="M39" s="3"/>
      <c r="N39" s="3"/>
      <c r="O39" s="10">
        <f>0.2*IF(COUNTIF(P39:INDEX(P39:V39,$B$1),"&gt;0")=0,0,
(SUMIF(P39:INDEX(P39:V39,$B$1),"&gt;0",P39:INDEX(P39:V39,$B$1))*$B$1/COUNTIF(P39:INDEX(P39:V39,$B$1),"&gt;0"))*
IF($B$1-COUNTIF(P39:INDEX(P39:V39,$B$1),"&gt;0")&lt;=2,1,
IF($B$1-COUNTIF(P39:INDEX(P39:V39,$B$1),"&gt;0")=3,0.8,
IF($B$1-COUNTIF(P39:INDEX(P39:V39,$B$1),"&gt;0")=4,0.6,0))))</f>
        <v>44.6</v>
      </c>
      <c r="P39" s="3">
        <v>48</v>
      </c>
      <c r="Q39" s="3">
        <v>41</v>
      </c>
      <c r="R39" s="3">
        <v>45</v>
      </c>
      <c r="S39" s="3">
        <v>44</v>
      </c>
      <c r="T39" s="3">
        <v>45</v>
      </c>
      <c r="U39" s="3"/>
      <c r="V39" s="3"/>
      <c r="W39" s="3">
        <f>MIN(100,
IF($B$1&gt;=1,IFERROR(VALUE(SUBSTITUTE(SUBSTITUTE(TRIM(X39),"A",""),"B","")),0),0)+
IF($B$1&gt;=2,IFERROR(VALUE(SUBSTITUTE(SUBSTITUTE(TRIM(Y39),"A",""),"B","")),0),0)+
IF($B$1&gt;=3,IFERROR(VALUE(SUBSTITUTE(SUBSTITUTE(TRIM(Z39),"A",""),"B","")),0),0)+
IF($B$1&gt;=4,IFERROR(VALUE(SUBSTITUTE(SUBSTITUTE(TRIM(AA39),"A",""),"B","")),0),0)+
IF($B$1&gt;=5,IFERROR(VALUE(SUBSTITUTE(SUBSTITUTE(TRIM(AB39),"A",""),"B","")),0),0)+
IF($B$1&gt;=6,IFERROR(VALUE(SUBSTITUTE(SUBSTITUTE(TRIM(AC39),"A",""),"B","")),0),0)+
IF($B$1&gt;=7,IFERROR(VALUE(SUBSTITUTE(SUBSTITUTE(TRIM(AD39),"A",""),"B","")),0),0)
)</f>
        <v>0</v>
      </c>
      <c r="X39" s="3"/>
      <c r="Y39" s="3"/>
      <c r="Z39" s="3"/>
      <c r="AA39" s="3"/>
      <c r="AB39" s="3"/>
      <c r="AC39" s="3"/>
      <c r="AD39" s="3"/>
      <c r="AE39" s="19">
        <f>AH39+AK39+AN39+AQ39+AT39+AW39+AZ39</f>
        <v>0</v>
      </c>
      <c r="AF39" s="10"/>
      <c r="AG39" s="10">
        <f>SQRT(AF39)</f>
        <v>0</v>
      </c>
      <c r="AH39" s="10">
        <f>IF(AG39&gt;0,AG39/AG$6*1000, 0)</f>
        <v>0</v>
      </c>
      <c r="AI39" s="10"/>
      <c r="AJ39" s="10">
        <f>SQRT(AI39)</f>
        <v>0</v>
      </c>
      <c r="AK39" s="10">
        <f>IF(AJ39&gt;0,AJ39/AJ$6*1000, 0)</f>
        <v>0</v>
      </c>
      <c r="AL39" s="10"/>
      <c r="AM39" s="10">
        <f>SQRT(AL39)</f>
        <v>0</v>
      </c>
      <c r="AN39" s="10">
        <f>IF(AM39&gt;0,AM39/AM$6*1000, 0)</f>
        <v>0</v>
      </c>
      <c r="AO39" s="10"/>
      <c r="AP39" s="10"/>
      <c r="AQ39" s="10"/>
      <c r="AR39" s="10"/>
      <c r="AS39" s="10"/>
      <c r="AT39" s="10"/>
      <c r="AU39" s="10"/>
      <c r="AV39" s="10"/>
      <c r="AW39" s="10"/>
      <c r="AX39" s="17"/>
      <c r="AY39" s="10">
        <f>SQRT(AX39)</f>
        <v>0</v>
      </c>
      <c r="AZ39" s="21">
        <f>IF(AY39&gt;0, AY39/AY$6*1000, 0)</f>
        <v>0</v>
      </c>
      <c r="BA39" s="16">
        <v>0.28999999999999998</v>
      </c>
      <c r="BB39" s="15">
        <f>SQRT(BA39)</f>
        <v>0.53851648071345037</v>
      </c>
      <c r="BC39" s="10">
        <f>IF(BB39&gt;0, BB39/BB$6*10000, 0)</f>
        <v>144.23901362533471</v>
      </c>
      <c r="BD39" s="10"/>
      <c r="BE39" s="10"/>
      <c r="BF39" s="10"/>
      <c r="BG39" s="17">
        <v>7</v>
      </c>
      <c r="BH39" s="40">
        <f>IF(BG39&gt;0, BG39/BG$6*2000, 0)</f>
        <v>26.217228464419478</v>
      </c>
      <c r="BI39" s="17"/>
      <c r="BJ39" s="17"/>
      <c r="BK39" s="3"/>
      <c r="BL39" s="1"/>
      <c r="BM39" s="1"/>
      <c r="BN39" s="1"/>
    </row>
    <row r="40" spans="1:66" s="4" customFormat="1" ht="20.100000000000001" customHeight="1" x14ac:dyDescent="0.25">
      <c r="A40" s="1"/>
      <c r="B40" s="1">
        <v>31</v>
      </c>
      <c r="C40" s="26">
        <v>34</v>
      </c>
      <c r="D40" s="1" t="str">
        <f>IF(C40&lt;B40,"▲"&amp;B40-C40,IF(C40&gt;B40,"▼"&amp;C40-B40,"—"))</f>
        <v>▼3</v>
      </c>
      <c r="E40" s="2" t="s">
        <v>46</v>
      </c>
      <c r="F40" s="27">
        <f>G40+O40+W40+AE40+BC40+BH40</f>
        <v>490.89042123972752</v>
      </c>
      <c r="G40" s="12">
        <f>IF(COUNTIF(H40:INDEX(H40:N40,$B$1),"&gt;0")=0,0,
(SUMIF(H40:INDEX(H40:N40,$B$1),"&gt;0",H40:INDEX(H40:N40,$B$1))*$B$1/COUNTIF(H40:INDEX(H40:N40,$B$1),"&gt;0"))*
IF($B$1-COUNTIF(H40:INDEX(H40:N40,$B$1),"&gt;0")&lt;=2,1,
IF($B$1-COUNTIF(H40:INDEX(H40:N40,$B$1),"&gt;0")=3,0.8,
IF($B$1-COUNTIF(H40:INDEX(H40:N40,$B$1),"&gt;0")=4,0.6,0))))</f>
        <v>327</v>
      </c>
      <c r="H40" s="3">
        <v>65</v>
      </c>
      <c r="I40" s="3">
        <v>58</v>
      </c>
      <c r="J40" s="3">
        <v>60</v>
      </c>
      <c r="K40" s="3">
        <v>94</v>
      </c>
      <c r="L40" s="3">
        <v>50</v>
      </c>
      <c r="M40" s="3"/>
      <c r="N40" s="3"/>
      <c r="O40" s="10">
        <f>0.2*IF(COUNTIF(P40:INDEX(P40:V40,$B$1),"&gt;0")=0,0,
(SUMIF(P40:INDEX(P40:V40,$B$1),"&gt;0",P40:INDEX(P40:V40,$B$1))*$B$1/COUNTIF(P40:INDEX(P40:V40,$B$1),"&gt;0"))*
IF($B$1-COUNTIF(P40:INDEX(P40:V40,$B$1),"&gt;0")&lt;=2,1,
IF($B$1-COUNTIF(P40:INDEX(P40:V40,$B$1),"&gt;0")=3,0.8,
IF($B$1-COUNTIF(P40:INDEX(P40:V40,$B$1),"&gt;0")=4,0.6,0))))</f>
        <v>44.2</v>
      </c>
      <c r="P40" s="3">
        <v>50</v>
      </c>
      <c r="Q40" s="3">
        <v>32</v>
      </c>
      <c r="R40" s="3">
        <v>46</v>
      </c>
      <c r="S40" s="3">
        <v>48</v>
      </c>
      <c r="T40" s="3">
        <v>45</v>
      </c>
      <c r="U40" s="3"/>
      <c r="V40" s="3"/>
      <c r="W40" s="3">
        <f>MIN(100,
IF($B$1&gt;=1,IFERROR(VALUE(SUBSTITUTE(SUBSTITUTE(TRIM(X40),"A",""),"B","")),0),0)+
IF($B$1&gt;=2,IFERROR(VALUE(SUBSTITUTE(SUBSTITUTE(TRIM(Y40),"A",""),"B","")),0),0)+
IF($B$1&gt;=3,IFERROR(VALUE(SUBSTITUTE(SUBSTITUTE(TRIM(Z40),"A",""),"B","")),0),0)+
IF($B$1&gt;=4,IFERROR(VALUE(SUBSTITUTE(SUBSTITUTE(TRIM(AA40),"A",""),"B","")),0),0)+
IF($B$1&gt;=5,IFERROR(VALUE(SUBSTITUTE(SUBSTITUTE(TRIM(AB40),"A",""),"B","")),0),0)+
IF($B$1&gt;=6,IFERROR(VALUE(SUBSTITUTE(SUBSTITUTE(TRIM(AC40),"A",""),"B","")),0),0)+
IF($B$1&gt;=7,IFERROR(VALUE(SUBSTITUTE(SUBSTITUTE(TRIM(AD40),"A",""),"B","")),0),0)
)</f>
        <v>20</v>
      </c>
      <c r="X40" s="3"/>
      <c r="Y40" s="3"/>
      <c r="Z40" s="3" t="s">
        <v>14</v>
      </c>
      <c r="AA40" s="3"/>
      <c r="AB40" s="3"/>
      <c r="AC40" s="3"/>
      <c r="AD40" s="3"/>
      <c r="AE40" s="19">
        <f>AH40+AK40+AN40+AQ40+AT40+AW40+AZ40</f>
        <v>16.441743102217231</v>
      </c>
      <c r="AF40" s="10"/>
      <c r="AG40" s="10">
        <f>SQRT(AF40)</f>
        <v>0</v>
      </c>
      <c r="AH40" s="10">
        <f>IF(AG40&gt;0,AG40/AG$6*1000, 0)</f>
        <v>0</v>
      </c>
      <c r="AI40" s="10"/>
      <c r="AJ40" s="10">
        <f>SQRT(AI40)</f>
        <v>0</v>
      </c>
      <c r="AK40" s="10">
        <f>IF(AJ40&gt;0,AJ40/AJ$6*1000, 0)</f>
        <v>0</v>
      </c>
      <c r="AL40" s="10"/>
      <c r="AM40" s="10">
        <f>SQRT(AL40)</f>
        <v>0</v>
      </c>
      <c r="AN40" s="10">
        <f>IF(AM40&gt;0,AM40/AM$6*1000, 0)</f>
        <v>0</v>
      </c>
      <c r="AO40" s="10"/>
      <c r="AP40" s="10"/>
      <c r="AQ40" s="10"/>
      <c r="AR40" s="10"/>
      <c r="AS40" s="10"/>
      <c r="AT40" s="10"/>
      <c r="AU40" s="10"/>
      <c r="AV40" s="10"/>
      <c r="AW40" s="10"/>
      <c r="AX40" s="17">
        <v>22</v>
      </c>
      <c r="AY40" s="10">
        <f>SQRT(AX40)</f>
        <v>4.6904157598234297</v>
      </c>
      <c r="AZ40" s="21">
        <f>IF(AY40&gt;0, AY40/AY$6*1000, 0)</f>
        <v>16.441743102217231</v>
      </c>
      <c r="BA40" s="16">
        <v>0.08</v>
      </c>
      <c r="BB40" s="15">
        <f>SQRT(BA40)</f>
        <v>0.28284271247461901</v>
      </c>
      <c r="BC40" s="10">
        <f>IF(BB40&gt;0, BB40/BB$6*10000, 0)</f>
        <v>75.758041433390488</v>
      </c>
      <c r="BD40" s="10"/>
      <c r="BE40" s="10"/>
      <c r="BF40" s="10"/>
      <c r="BG40" s="17">
        <v>2</v>
      </c>
      <c r="BH40" s="40">
        <f>IF(BG40&gt;0, BG40/BG$6*2000, 0)</f>
        <v>7.4906367041198498</v>
      </c>
      <c r="BI40" s="17"/>
      <c r="BJ40" s="17"/>
      <c r="BK40" s="3"/>
      <c r="BL40" s="1"/>
      <c r="BM40" s="1"/>
      <c r="BN40" s="1"/>
    </row>
    <row r="41" spans="1:66" s="4" customFormat="1" ht="20.100000000000001" customHeight="1" x14ac:dyDescent="0.25">
      <c r="A41" s="1"/>
      <c r="B41" s="1">
        <v>50</v>
      </c>
      <c r="C41" s="26">
        <v>35</v>
      </c>
      <c r="D41" s="1" t="str">
        <f>IF(C41&lt;B41,"▲"&amp;B41-C41,IF(C41&gt;B41,"▼"&amp;C41-B41,"—"))</f>
        <v>▲15</v>
      </c>
      <c r="E41" s="2" t="s">
        <v>65</v>
      </c>
      <c r="F41" s="27">
        <f>G41+O41+W41+AE41+BC41+BH41</f>
        <v>466.62941027116165</v>
      </c>
      <c r="G41" s="12">
        <f>IF(COUNTIF(H41:INDEX(H41:N41,$B$1),"&gt;0")=0,0,
(SUMIF(H41:INDEX(H41:N41,$B$1),"&gt;0",H41:INDEX(H41:N41,$B$1))*$B$1/COUNTIF(H41:INDEX(H41:N41,$B$1),"&gt;0"))*
IF($B$1-COUNTIF(H41:INDEX(H41:N41,$B$1),"&gt;0")&lt;=2,1,
IF($B$1-COUNTIF(H41:INDEX(H41:N41,$B$1),"&gt;0")=3,0.8,
IF($B$1-COUNTIF(H41:INDEX(H41:N41,$B$1),"&gt;0")=4,0.6,0))))</f>
        <v>251</v>
      </c>
      <c r="H41" s="3">
        <v>46</v>
      </c>
      <c r="I41" s="3">
        <v>49</v>
      </c>
      <c r="J41" s="3">
        <v>42</v>
      </c>
      <c r="K41" s="3">
        <v>64</v>
      </c>
      <c r="L41" s="3">
        <v>50</v>
      </c>
      <c r="M41" s="3"/>
      <c r="N41" s="3"/>
      <c r="O41" s="10">
        <f>0.2*IF(COUNTIF(P41:INDEX(P41:V41,$B$1),"&gt;0")=0,0,
(SUMIF(P41:INDEX(P41:V41,$B$1),"&gt;0",P41:INDEX(P41:V41,$B$1))*$B$1/COUNTIF(P41:INDEX(P41:V41,$B$1),"&gt;0"))*
IF($B$1-COUNTIF(P41:INDEX(P41:V41,$B$1),"&gt;0")&lt;=2,1,
IF($B$1-COUNTIF(P41:INDEX(P41:V41,$B$1),"&gt;0")=3,0.8,
IF($B$1-COUNTIF(P41:INDEX(P41:V41,$B$1),"&gt;0")=4,0.6,0))))</f>
        <v>46.400000000000006</v>
      </c>
      <c r="P41" s="3">
        <v>50</v>
      </c>
      <c r="Q41" s="3">
        <v>41</v>
      </c>
      <c r="R41" s="3">
        <v>46</v>
      </c>
      <c r="S41" s="3">
        <v>48</v>
      </c>
      <c r="T41" s="3">
        <v>47</v>
      </c>
      <c r="U41" s="3"/>
      <c r="V41" s="3"/>
      <c r="W41" s="3">
        <f>MIN(100,
IF($B$1&gt;=1,IFERROR(VALUE(SUBSTITUTE(SUBSTITUTE(TRIM(X41),"A",""),"B","")),0),0)+
IF($B$1&gt;=2,IFERROR(VALUE(SUBSTITUTE(SUBSTITUTE(TRIM(Y41),"A",""),"B","")),0),0)+
IF($B$1&gt;=3,IFERROR(VALUE(SUBSTITUTE(SUBSTITUTE(TRIM(Z41),"A",""),"B","")),0),0)+
IF($B$1&gt;=4,IFERROR(VALUE(SUBSTITUTE(SUBSTITUTE(TRIM(AA41),"A",""),"B","")),0),0)+
IF($B$1&gt;=5,IFERROR(VALUE(SUBSTITUTE(SUBSTITUTE(TRIM(AB41),"A",""),"B","")),0),0)+
IF($B$1&gt;=6,IFERROR(VALUE(SUBSTITUTE(SUBSTITUTE(TRIM(AC41),"A",""),"B","")),0),0)+
IF($B$1&gt;=7,IFERROR(VALUE(SUBSTITUTE(SUBSTITUTE(TRIM(AD41),"A",""),"B","")),0),0)
)</f>
        <v>0</v>
      </c>
      <c r="X41" s="3"/>
      <c r="Y41" s="3"/>
      <c r="Z41" s="3"/>
      <c r="AA41" s="3"/>
      <c r="AB41" s="3"/>
      <c r="AC41" s="3"/>
      <c r="AD41" s="3"/>
      <c r="AE41" s="19">
        <f>AH41+AK41+AN41+AQ41+AT41+AW41+AZ41</f>
        <v>34.464155861461386</v>
      </c>
      <c r="AF41" s="10">
        <v>0.9</v>
      </c>
      <c r="AG41" s="10">
        <f>SQRT(AF41)</f>
        <v>0.94868329805051377</v>
      </c>
      <c r="AH41" s="10">
        <f>IF(AG41&gt;0,AG41/AG$6*1000, 0)</f>
        <v>22.838087819356442</v>
      </c>
      <c r="AI41" s="10"/>
      <c r="AJ41" s="10">
        <f>SQRT(AI41)</f>
        <v>0</v>
      </c>
      <c r="AK41" s="10">
        <f>IF(AJ41&gt;0,AJ41/AJ$6*1000, 0)</f>
        <v>0</v>
      </c>
      <c r="AL41" s="10"/>
      <c r="AM41" s="10">
        <f>SQRT(AL41)</f>
        <v>0</v>
      </c>
      <c r="AN41" s="10">
        <f>IF(AM41&gt;0,AM41/AM$6*1000, 0)</f>
        <v>0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7">
        <v>11</v>
      </c>
      <c r="AY41" s="10">
        <f>SQRT(AX41)</f>
        <v>3.3166247903553998</v>
      </c>
      <c r="AZ41" s="21">
        <f>IF(AY41&gt;0, AY41/AY$6*1000, 0)</f>
        <v>11.626068042104944</v>
      </c>
      <c r="BA41" s="16">
        <v>0.2</v>
      </c>
      <c r="BB41" s="15">
        <f>SQRT(BA41)</f>
        <v>0.44721359549995793</v>
      </c>
      <c r="BC41" s="10">
        <f>IF(BB41&gt;0, BB41/BB$6*10000, 0)</f>
        <v>119.78398100146059</v>
      </c>
      <c r="BD41" s="10"/>
      <c r="BE41" s="10"/>
      <c r="BF41" s="10"/>
      <c r="BG41" s="17">
        <v>4</v>
      </c>
      <c r="BH41" s="40">
        <f>IF(BG41&gt;0, BG41/BG$6*2000, 0)</f>
        <v>14.9812734082397</v>
      </c>
      <c r="BI41" s="17"/>
      <c r="BJ41" s="17"/>
      <c r="BK41" s="3"/>
      <c r="BL41" s="1"/>
      <c r="BM41" s="1"/>
      <c r="BN41" s="1"/>
    </row>
    <row r="42" spans="1:66" s="4" customFormat="1" ht="20.100000000000001" customHeight="1" x14ac:dyDescent="0.25">
      <c r="A42" s="1"/>
      <c r="B42" s="1">
        <v>34</v>
      </c>
      <c r="C42" s="26">
        <v>36</v>
      </c>
      <c r="D42" s="1" t="str">
        <f>IF(C42&lt;B42,"▲"&amp;B42-C42,IF(C42&gt;B42,"▼"&amp;C42-B42,"—"))</f>
        <v>▼2</v>
      </c>
      <c r="E42" s="2" t="s">
        <v>48</v>
      </c>
      <c r="F42" s="27">
        <f>G42+O42+W42+AE42+BC42+BH42</f>
        <v>446.47482928352309</v>
      </c>
      <c r="G42" s="12">
        <f>IF(COUNTIF(H42:INDEX(H42:N42,$B$1),"&gt;0")=0,0,
(SUMIF(H42:INDEX(H42:N42,$B$1),"&gt;0",H42:INDEX(H42:N42,$B$1))*$B$1/COUNTIF(H42:INDEX(H42:N42,$B$1),"&gt;0"))*
IF($B$1-COUNTIF(H42:INDEX(H42:N42,$B$1),"&gt;0")&lt;=2,1,
IF($B$1-COUNTIF(H42:INDEX(H42:N42,$B$1),"&gt;0")=3,0.8,
IF($B$1-COUNTIF(H42:INDEX(H42:N42,$B$1),"&gt;0")=4,0.6,0))))</f>
        <v>316</v>
      </c>
      <c r="H42" s="3">
        <v>35</v>
      </c>
      <c r="I42" s="3">
        <v>81</v>
      </c>
      <c r="J42" s="3">
        <v>72</v>
      </c>
      <c r="K42" s="3">
        <v>93</v>
      </c>
      <c r="L42" s="3">
        <v>35</v>
      </c>
      <c r="M42" s="3"/>
      <c r="N42" s="3"/>
      <c r="O42" s="10">
        <f>0.2*IF(COUNTIF(P42:INDEX(P42:V42,$B$1),"&gt;0")=0,0,
(SUMIF(P42:INDEX(P42:V42,$B$1),"&gt;0",P42:INDEX(P42:V42,$B$1))*$B$1/COUNTIF(P42:INDEX(P42:V42,$B$1),"&gt;0"))*
IF($B$1-COUNTIF(P42:INDEX(P42:V42,$B$1),"&gt;0")&lt;=2,1,
IF($B$1-COUNTIF(P42:INDEX(P42:V42,$B$1),"&gt;0")=3,0.8,
IF($B$1-COUNTIF(P42:INDEX(P42:V42,$B$1),"&gt;0")=4,0.6,0))))</f>
        <v>54.6</v>
      </c>
      <c r="P42" s="3">
        <v>61</v>
      </c>
      <c r="Q42" s="3">
        <v>45</v>
      </c>
      <c r="R42" s="3">
        <v>55</v>
      </c>
      <c r="S42" s="3">
        <v>59</v>
      </c>
      <c r="T42" s="3">
        <v>53</v>
      </c>
      <c r="U42" s="3"/>
      <c r="V42" s="3"/>
      <c r="W42" s="3">
        <f>MIN(100,
IF($B$1&gt;=1,IFERROR(VALUE(SUBSTITUTE(SUBSTITUTE(TRIM(X42),"A",""),"B","")),0),0)+
IF($B$1&gt;=2,IFERROR(VALUE(SUBSTITUTE(SUBSTITUTE(TRIM(Y42),"A",""),"B","")),0),0)+
IF($B$1&gt;=3,IFERROR(VALUE(SUBSTITUTE(SUBSTITUTE(TRIM(Z42),"A",""),"B","")),0),0)+
IF($B$1&gt;=4,IFERROR(VALUE(SUBSTITUTE(SUBSTITUTE(TRIM(AA42),"A",""),"B","")),0),0)+
IF($B$1&gt;=5,IFERROR(VALUE(SUBSTITUTE(SUBSTITUTE(TRIM(AB42),"A",""),"B","")),0),0)+
IF($B$1&gt;=6,IFERROR(VALUE(SUBSTITUTE(SUBSTITUTE(TRIM(AC42),"A",""),"B","")),0),0)+
IF($B$1&gt;=7,IFERROR(VALUE(SUBSTITUTE(SUBSTITUTE(TRIM(AD42),"A",""),"B","")),0),0)
)</f>
        <v>0</v>
      </c>
      <c r="X42" s="3"/>
      <c r="Y42" s="3"/>
      <c r="Z42" s="3"/>
      <c r="AA42" s="3"/>
      <c r="AB42" s="3"/>
      <c r="AC42" s="3"/>
      <c r="AD42" s="3"/>
      <c r="AE42" s="19">
        <f>AH42+AK42+AN42+AQ42+AT42+AW42+AZ42</f>
        <v>7.0107828150552596</v>
      </c>
      <c r="AF42" s="10"/>
      <c r="AG42" s="10">
        <f>SQRT(AF42)</f>
        <v>0</v>
      </c>
      <c r="AH42" s="10">
        <f>IF(AG42&gt;0,AG42/AG$6*1000, 0)</f>
        <v>0</v>
      </c>
      <c r="AI42" s="10"/>
      <c r="AJ42" s="10">
        <f>SQRT(AI42)</f>
        <v>0</v>
      </c>
      <c r="AK42" s="10">
        <f>IF(AJ42&gt;0,AJ42/AJ$6*1000, 0)</f>
        <v>0</v>
      </c>
      <c r="AL42" s="10"/>
      <c r="AM42" s="10">
        <f>SQRT(AL42)</f>
        <v>0</v>
      </c>
      <c r="AN42" s="10">
        <f>IF(AM42&gt;0,AM42/AM$6*1000, 0)</f>
        <v>0</v>
      </c>
      <c r="AO42" s="10"/>
      <c r="AP42" s="10"/>
      <c r="AQ42" s="10"/>
      <c r="AR42" s="10"/>
      <c r="AS42" s="10"/>
      <c r="AT42" s="10"/>
      <c r="AU42" s="10"/>
      <c r="AV42" s="10"/>
      <c r="AW42" s="10"/>
      <c r="AX42" s="17">
        <v>4</v>
      </c>
      <c r="AY42" s="10">
        <f>SQRT(AX42)</f>
        <v>2</v>
      </c>
      <c r="AZ42" s="21">
        <f>IF(AY42&gt;0, AY42/AY$6*1000, 0)</f>
        <v>7.0107828150552596</v>
      </c>
      <c r="BA42" s="16">
        <v>0.03</v>
      </c>
      <c r="BB42" s="15">
        <f>SQRT(BA42)</f>
        <v>0.17320508075688773</v>
      </c>
      <c r="BC42" s="10">
        <f>IF(BB42&gt;0, BB42/BB$6*10000, 0)</f>
        <v>46.392136356108246</v>
      </c>
      <c r="BD42" s="10"/>
      <c r="BE42" s="10"/>
      <c r="BF42" s="10"/>
      <c r="BG42" s="17">
        <v>6</v>
      </c>
      <c r="BH42" s="40">
        <f>IF(BG42&gt;0, BG42/BG$6*2000, 0)</f>
        <v>22.471910112359549</v>
      </c>
      <c r="BI42" s="17"/>
      <c r="BJ42" s="17"/>
      <c r="BK42" s="3"/>
      <c r="BL42" s="1"/>
      <c r="BM42" s="1"/>
      <c r="BN42" s="1"/>
    </row>
    <row r="43" spans="1:66" s="4" customFormat="1" ht="20.100000000000001" customHeight="1" x14ac:dyDescent="0.25">
      <c r="A43" s="1"/>
      <c r="B43" s="1">
        <v>33</v>
      </c>
      <c r="C43" s="26">
        <v>37</v>
      </c>
      <c r="D43" s="1" t="str">
        <f>IF(C43&lt;B43,"▲"&amp;B43-C43,IF(C43&gt;B43,"▼"&amp;C43-B43,"—"))</f>
        <v>▼4</v>
      </c>
      <c r="E43" s="2" t="s">
        <v>47</v>
      </c>
      <c r="F43" s="27">
        <f>G43+O43+W43+AE43+BC43+BH43</f>
        <v>445.3259190814922</v>
      </c>
      <c r="G43" s="12">
        <f>IF(COUNTIF(H43:INDEX(H43:N43,$B$1),"&gt;0")=0,0,
(SUMIF(H43:INDEX(H43:N43,$B$1),"&gt;0",H43:INDEX(H43:N43,$B$1))*$B$1/COUNTIF(H43:INDEX(H43:N43,$B$1),"&gt;0"))*
IF($B$1-COUNTIF(H43:INDEX(H43:N43,$B$1),"&gt;0")&lt;=2,1,
IF($B$1-COUNTIF(H43:INDEX(H43:N43,$B$1),"&gt;0")=3,0.8,
IF($B$1-COUNTIF(H43:INDEX(H43:N43,$B$1),"&gt;0")=4,0.6,0))))</f>
        <v>233</v>
      </c>
      <c r="H43" s="3">
        <v>50</v>
      </c>
      <c r="I43" s="3">
        <v>61</v>
      </c>
      <c r="J43" s="3">
        <v>63</v>
      </c>
      <c r="K43" s="3">
        <v>29</v>
      </c>
      <c r="L43" s="3">
        <v>30</v>
      </c>
      <c r="M43" s="3"/>
      <c r="N43" s="3"/>
      <c r="O43" s="10">
        <f>0.2*IF(COUNTIF(P43:INDEX(P43:V43,$B$1),"&gt;0")=0,0,
(SUMIF(P43:INDEX(P43:V43,$B$1),"&gt;0",P43:INDEX(P43:V43,$B$1))*$B$1/COUNTIF(P43:INDEX(P43:V43,$B$1),"&gt;0"))*
IF($B$1-COUNTIF(P43:INDEX(P43:V43,$B$1),"&gt;0")&lt;=2,1,
IF($B$1-COUNTIF(P43:INDEX(P43:V43,$B$1),"&gt;0")=3,0.8,
IF($B$1-COUNTIF(P43:INDEX(P43:V43,$B$1),"&gt;0")=4,0.6,0))))</f>
        <v>41.400000000000006</v>
      </c>
      <c r="P43" s="3">
        <v>52</v>
      </c>
      <c r="Q43" s="3">
        <v>41</v>
      </c>
      <c r="R43" s="3">
        <v>50</v>
      </c>
      <c r="S43" s="3">
        <v>39</v>
      </c>
      <c r="T43" s="3">
        <v>25</v>
      </c>
      <c r="U43" s="3"/>
      <c r="V43" s="3"/>
      <c r="W43" s="3">
        <f>MIN(100,
IF($B$1&gt;=1,IFERROR(VALUE(SUBSTITUTE(SUBSTITUTE(TRIM(X43),"A",""),"B","")),0),0)+
IF($B$1&gt;=2,IFERROR(VALUE(SUBSTITUTE(SUBSTITUTE(TRIM(Y43),"A",""),"B","")),0),0)+
IF($B$1&gt;=3,IFERROR(VALUE(SUBSTITUTE(SUBSTITUTE(TRIM(Z43),"A",""),"B","")),0),0)+
IF($B$1&gt;=4,IFERROR(VALUE(SUBSTITUTE(SUBSTITUTE(TRIM(AA43),"A",""),"B","")),0),0)+
IF($B$1&gt;=5,IFERROR(VALUE(SUBSTITUTE(SUBSTITUTE(TRIM(AB43),"A",""),"B","")),0),0)+
IF($B$1&gt;=6,IFERROR(VALUE(SUBSTITUTE(SUBSTITUTE(TRIM(AC43),"A",""),"B","")),0),0)+
IF($B$1&gt;=7,IFERROR(VALUE(SUBSTITUTE(SUBSTITUTE(TRIM(AD43),"A",""),"B","")),0),0)
)</f>
        <v>20</v>
      </c>
      <c r="X43" s="3" t="s">
        <v>17</v>
      </c>
      <c r="Y43" s="3"/>
      <c r="Z43" s="3"/>
      <c r="AA43" s="3"/>
      <c r="AB43" s="3"/>
      <c r="AC43" s="3"/>
      <c r="AD43" s="3"/>
      <c r="AE43" s="19">
        <f>AH43+AK43+AN43+AQ43+AT43+AW43+AZ43</f>
        <v>0</v>
      </c>
      <c r="AF43" s="10"/>
      <c r="AG43" s="10">
        <f>SQRT(AF43)</f>
        <v>0</v>
      </c>
      <c r="AH43" s="10">
        <f>IF(AG43&gt;0,AG43/AG$6*1000, 0)</f>
        <v>0</v>
      </c>
      <c r="AI43" s="10"/>
      <c r="AJ43" s="10">
        <f>SQRT(AI43)</f>
        <v>0</v>
      </c>
      <c r="AK43" s="10">
        <f>IF(AJ43&gt;0,AJ43/AJ$6*1000, 0)</f>
        <v>0</v>
      </c>
      <c r="AL43" s="10"/>
      <c r="AM43" s="10">
        <f>SQRT(AL43)</f>
        <v>0</v>
      </c>
      <c r="AN43" s="10">
        <f>IF(AM43&gt;0,AM43/AM$6*1000, 0)</f>
        <v>0</v>
      </c>
      <c r="AO43" s="10"/>
      <c r="AP43" s="10"/>
      <c r="AQ43" s="10"/>
      <c r="AR43" s="10"/>
      <c r="AS43" s="10"/>
      <c r="AT43" s="10"/>
      <c r="AU43" s="10"/>
      <c r="AV43" s="10"/>
      <c r="AW43" s="10"/>
      <c r="AX43" s="17"/>
      <c r="AY43" s="10">
        <f>SQRT(AX43)</f>
        <v>0</v>
      </c>
      <c r="AZ43" s="21">
        <f>IF(AY43&gt;0, AY43/AY$6*1000, 0)</f>
        <v>0</v>
      </c>
      <c r="BA43" s="16">
        <v>0.23</v>
      </c>
      <c r="BB43" s="15">
        <f>SQRT(BA43)</f>
        <v>0.47958315233127197</v>
      </c>
      <c r="BC43" s="10">
        <f>IF(BB43&gt;0, BB43/BB$6*10000, 0)</f>
        <v>128.45400896913267</v>
      </c>
      <c r="BD43" s="10"/>
      <c r="BE43" s="10"/>
      <c r="BF43" s="10"/>
      <c r="BG43" s="17">
        <v>6</v>
      </c>
      <c r="BH43" s="40">
        <f>IF(BG43&gt;0, BG43/BG$6*2000, 0)</f>
        <v>22.471910112359549</v>
      </c>
      <c r="BI43" s="17"/>
      <c r="BJ43" s="17"/>
      <c r="BK43" s="3"/>
      <c r="BL43" s="1"/>
      <c r="BM43" s="1"/>
      <c r="BN43" s="1"/>
    </row>
    <row r="44" spans="1:66" s="4" customFormat="1" ht="20.100000000000001" customHeight="1" x14ac:dyDescent="0.25">
      <c r="A44" s="1"/>
      <c r="B44" s="1">
        <v>32</v>
      </c>
      <c r="C44" s="26">
        <v>38</v>
      </c>
      <c r="D44" s="1" t="str">
        <f>IF(C44&lt;B44,"▲"&amp;B44-C44,IF(C44&gt;B44,"▼"&amp;C44-B44,"—"))</f>
        <v>▼6</v>
      </c>
      <c r="E44" s="2" t="s">
        <v>58</v>
      </c>
      <c r="F44" s="27">
        <f>G44+O44+W44+AE44+BC44+BH44</f>
        <v>431.28397176707102</v>
      </c>
      <c r="G44" s="12">
        <f>IF(COUNTIF(H44:INDEX(H44:N44,$B$1),"&gt;0")=0,0,
(SUMIF(H44:INDEX(H44:N44,$B$1),"&gt;0",H44:INDEX(H44:N44,$B$1))*$B$1/COUNTIF(H44:INDEX(H44:N44,$B$1),"&gt;0"))*
IF($B$1-COUNTIF(H44:INDEX(H44:N44,$B$1),"&gt;0")&lt;=2,1,
IF($B$1-COUNTIF(H44:INDEX(H44:N44,$B$1),"&gt;0")=3,0.8,
IF($B$1-COUNTIF(H44:INDEX(H44:N44,$B$1),"&gt;0")=4,0.6,0))))</f>
        <v>257</v>
      </c>
      <c r="H44" s="3">
        <v>57</v>
      </c>
      <c r="I44" s="3">
        <v>51</v>
      </c>
      <c r="J44" s="3">
        <v>57</v>
      </c>
      <c r="K44" s="3">
        <v>47</v>
      </c>
      <c r="L44" s="3">
        <v>45</v>
      </c>
      <c r="M44" s="3"/>
      <c r="N44" s="3"/>
      <c r="O44" s="10">
        <f>0.2*IF(COUNTIF(P44:INDEX(P44:V44,$B$1),"&gt;0")=0,0,
(SUMIF(P44:INDEX(P44:V44,$B$1),"&gt;0",P44:INDEX(P44:V44,$B$1))*$B$1/COUNTIF(P44:INDEX(P44:V44,$B$1),"&gt;0"))*
IF($B$1-COUNTIF(P44:INDEX(P44:V44,$B$1),"&gt;0")&lt;=2,1,
IF($B$1-COUNTIF(P44:INDEX(P44:V44,$B$1),"&gt;0")=3,0.8,
IF($B$1-COUNTIF(P44:INDEX(P44:V44,$B$1),"&gt;0")=4,0.6,0))))</f>
        <v>42.2</v>
      </c>
      <c r="P44" s="3">
        <v>40</v>
      </c>
      <c r="Q44" s="3">
        <v>39</v>
      </c>
      <c r="R44" s="3">
        <v>48</v>
      </c>
      <c r="S44" s="3">
        <v>44</v>
      </c>
      <c r="T44" s="3">
        <v>40</v>
      </c>
      <c r="U44" s="3"/>
      <c r="V44" s="3"/>
      <c r="W44" s="3">
        <f>MIN(100,
IF($B$1&gt;=1,IFERROR(VALUE(SUBSTITUTE(SUBSTITUTE(TRIM(X44),"A",""),"B","")),0),0)+
IF($B$1&gt;=2,IFERROR(VALUE(SUBSTITUTE(SUBSTITUTE(TRIM(Y44),"A",""),"B","")),0),0)+
IF($B$1&gt;=3,IFERROR(VALUE(SUBSTITUTE(SUBSTITUTE(TRIM(Z44),"A",""),"B","")),0),0)+
IF($B$1&gt;=4,IFERROR(VALUE(SUBSTITUTE(SUBSTITUTE(TRIM(AA44),"A",""),"B","")),0),0)+
IF($B$1&gt;=5,IFERROR(VALUE(SUBSTITUTE(SUBSTITUTE(TRIM(AB44),"A",""),"B","")),0),0)+
IF($B$1&gt;=6,IFERROR(VALUE(SUBSTITUTE(SUBSTITUTE(TRIM(AC44),"A",""),"B","")),0),0)+
IF($B$1&gt;=7,IFERROR(VALUE(SUBSTITUTE(SUBSTITUTE(TRIM(AD44),"A",""),"B","")),0),0)
)</f>
        <v>0</v>
      </c>
      <c r="X44" s="3"/>
      <c r="Y44" s="3"/>
      <c r="Z44" s="3"/>
      <c r="AA44" s="3"/>
      <c r="AB44" s="3"/>
      <c r="AC44" s="3"/>
      <c r="AD44" s="3"/>
      <c r="AE44" s="19">
        <f>AH44+AK44+AN44+AQ44+AT44+AW44+AZ44</f>
        <v>21.531763120081752</v>
      </c>
      <c r="AF44" s="10"/>
      <c r="AG44" s="10">
        <f>SQRT(AF44)</f>
        <v>0</v>
      </c>
      <c r="AH44" s="10">
        <f>IF(AG44&gt;0,AG44/AG$6*1000, 0)</f>
        <v>0</v>
      </c>
      <c r="AI44" s="10">
        <v>0.3</v>
      </c>
      <c r="AJ44" s="10">
        <f>SQRT(AI44)</f>
        <v>0.54772255750516607</v>
      </c>
      <c r="AK44" s="10">
        <f>IF(AJ44&gt;0,AJ44/AJ$6*1000, 0)</f>
        <v>15.460247101828518</v>
      </c>
      <c r="AL44" s="10"/>
      <c r="AM44" s="10">
        <f>SQRT(AL44)</f>
        <v>0</v>
      </c>
      <c r="AN44" s="10">
        <f>IF(AM44&gt;0,AM44/AM$6*1000, 0)</f>
        <v>0</v>
      </c>
      <c r="AO44" s="10"/>
      <c r="AP44" s="10"/>
      <c r="AQ44" s="10"/>
      <c r="AR44" s="10"/>
      <c r="AS44" s="10"/>
      <c r="AT44" s="10"/>
      <c r="AU44" s="10"/>
      <c r="AV44" s="10"/>
      <c r="AW44" s="10"/>
      <c r="AX44" s="17">
        <v>3</v>
      </c>
      <c r="AY44" s="10">
        <f>SQRT(AX44)</f>
        <v>1.7320508075688772</v>
      </c>
      <c r="AZ44" s="21">
        <f>IF(AY44&gt;0, AY44/AY$6*1000, 0)</f>
        <v>6.0715160182532335</v>
      </c>
      <c r="BA44" s="16">
        <v>0.06</v>
      </c>
      <c r="BB44" s="15">
        <f>SQRT(BA44)</f>
        <v>0.2449489742783178</v>
      </c>
      <c r="BC44" s="10">
        <f>IF(BB44&gt;0, BB44/BB$6*10000, 0)</f>
        <v>65.608388422270224</v>
      </c>
      <c r="BD44" s="10"/>
      <c r="BE44" s="10"/>
      <c r="BF44" s="10"/>
      <c r="BG44" s="17">
        <v>12</v>
      </c>
      <c r="BH44" s="40">
        <f>IF(BG44&gt;0, BG44/BG$6*2000, 0)</f>
        <v>44.943820224719097</v>
      </c>
      <c r="BI44" s="17"/>
      <c r="BJ44" s="17"/>
      <c r="BK44" s="3"/>
      <c r="BL44" s="1"/>
      <c r="BM44" s="1"/>
      <c r="BN44" s="1"/>
    </row>
    <row r="45" spans="1:66" s="4" customFormat="1" ht="20.100000000000001" customHeight="1" x14ac:dyDescent="0.25">
      <c r="A45" s="1"/>
      <c r="B45" s="1">
        <v>43</v>
      </c>
      <c r="C45" s="26">
        <v>39</v>
      </c>
      <c r="D45" s="1" t="str">
        <f>IF(C45&lt;B45,"▲"&amp;B45-C45,IF(C45&gt;B45,"▼"&amp;C45-B45,"—"))</f>
        <v>▲4</v>
      </c>
      <c r="E45" s="2" t="s">
        <v>61</v>
      </c>
      <c r="F45" s="27">
        <f>G45+O45+W45+AE45+BC45+BH45</f>
        <v>425.80477823326783</v>
      </c>
      <c r="G45" s="12">
        <f>IF(COUNTIF(H45:INDEX(H45:N45,$B$1),"&gt;0")=0,0,
(SUMIF(H45:INDEX(H45:N45,$B$1),"&gt;0",H45:INDEX(H45:N45,$B$1))*$B$1/COUNTIF(H45:INDEX(H45:N45,$B$1),"&gt;0"))*
IF($B$1-COUNTIF(H45:INDEX(H45:N45,$B$1),"&gt;0")&lt;=2,1,
IF($B$1-COUNTIF(H45:INDEX(H45:N45,$B$1),"&gt;0")=3,0.8,
IF($B$1-COUNTIF(H45:INDEX(H45:N45,$B$1),"&gt;0")=4,0.6,0))))</f>
        <v>242</v>
      </c>
      <c r="H45" s="3">
        <v>50</v>
      </c>
      <c r="I45" s="3">
        <v>53</v>
      </c>
      <c r="J45" s="3">
        <v>52</v>
      </c>
      <c r="K45" s="3">
        <v>44</v>
      </c>
      <c r="L45" s="3">
        <v>43</v>
      </c>
      <c r="M45" s="3"/>
      <c r="N45" s="3"/>
      <c r="O45" s="10">
        <f>0.2*IF(COUNTIF(P45:INDEX(P45:V45,$B$1),"&gt;0")=0,0,
(SUMIF(P45:INDEX(P45:V45,$B$1),"&gt;0",P45:INDEX(P45:V45,$B$1))*$B$1/COUNTIF(P45:INDEX(P45:V45,$B$1),"&gt;0"))*
IF($B$1-COUNTIF(P45:INDEX(P45:V45,$B$1),"&gt;0")&lt;=2,1,
IF($B$1-COUNTIF(P45:INDEX(P45:V45,$B$1),"&gt;0")=3,0.8,
IF($B$1-COUNTIF(P45:INDEX(P45:V45,$B$1),"&gt;0")=4,0.6,0))))</f>
        <v>45.6</v>
      </c>
      <c r="P45" s="3">
        <v>47</v>
      </c>
      <c r="Q45" s="3">
        <v>39</v>
      </c>
      <c r="R45" s="3">
        <v>45</v>
      </c>
      <c r="S45" s="3">
        <v>49</v>
      </c>
      <c r="T45" s="3">
        <v>48</v>
      </c>
      <c r="U45" s="3"/>
      <c r="V45" s="3"/>
      <c r="W45" s="3">
        <f>MIN(100,
IF($B$1&gt;=1,IFERROR(VALUE(SUBSTITUTE(SUBSTITUTE(TRIM(X45),"A",""),"B","")),0),0)+
IF($B$1&gt;=2,IFERROR(VALUE(SUBSTITUTE(SUBSTITUTE(TRIM(Y45),"A",""),"B","")),0),0)+
IF($B$1&gt;=3,IFERROR(VALUE(SUBSTITUTE(SUBSTITUTE(TRIM(Z45),"A",""),"B","")),0),0)+
IF($B$1&gt;=4,IFERROR(VALUE(SUBSTITUTE(SUBSTITUTE(TRIM(AA45),"A",""),"B","")),0),0)+
IF($B$1&gt;=5,IFERROR(VALUE(SUBSTITUTE(SUBSTITUTE(TRIM(AB45),"A",""),"B","")),0),0)+
IF($B$1&gt;=6,IFERROR(VALUE(SUBSTITUTE(SUBSTITUTE(TRIM(AC45),"A",""),"B","")),0),0)+
IF($B$1&gt;=7,IFERROR(VALUE(SUBSTITUTE(SUBSTITUTE(TRIM(AD45),"A",""),"B","")),0),0)
)</f>
        <v>0</v>
      </c>
      <c r="X45" s="3"/>
      <c r="Y45" s="3"/>
      <c r="Z45" s="3"/>
      <c r="AA45" s="3"/>
      <c r="AB45" s="3"/>
      <c r="AC45" s="3"/>
      <c r="AD45" s="3"/>
      <c r="AE45" s="19">
        <f>AH45+AK45+AN45+AQ45+AT45+AW45+AZ45</f>
        <v>8.9259778259788263</v>
      </c>
      <c r="AF45" s="10"/>
      <c r="AG45" s="10">
        <f>SQRT(AF45)</f>
        <v>0</v>
      </c>
      <c r="AH45" s="10">
        <f>IF(AG45&gt;0,AG45/AG$6*1000, 0)</f>
        <v>0</v>
      </c>
      <c r="AI45" s="10">
        <v>0.1</v>
      </c>
      <c r="AJ45" s="10">
        <f>SQRT(AI45)</f>
        <v>0.31622776601683794</v>
      </c>
      <c r="AK45" s="10">
        <f>IF(AJ45&gt;0,AJ45/AJ$6*1000, 0)</f>
        <v>8.9259778259788263</v>
      </c>
      <c r="AL45" s="10"/>
      <c r="AM45" s="10">
        <f>SQRT(AL45)</f>
        <v>0</v>
      </c>
      <c r="AN45" s="10">
        <f>IF(AM45&gt;0,AM45/AM$6*1000, 0)</f>
        <v>0</v>
      </c>
      <c r="AO45" s="10"/>
      <c r="AP45" s="10"/>
      <c r="AQ45" s="10"/>
      <c r="AR45" s="10"/>
      <c r="AS45" s="10"/>
      <c r="AT45" s="10"/>
      <c r="AU45" s="10"/>
      <c r="AV45" s="10"/>
      <c r="AW45" s="10"/>
      <c r="AX45" s="17"/>
      <c r="AY45" s="10">
        <f>SQRT(AX45)</f>
        <v>0</v>
      </c>
      <c r="AZ45" s="21">
        <f>IF(AY45&gt;0, AY45/AY$6*1000, 0)</f>
        <v>0</v>
      </c>
      <c r="BA45" s="16">
        <v>0.06</v>
      </c>
      <c r="BB45" s="15">
        <f>SQRT(BA45)</f>
        <v>0.2449489742783178</v>
      </c>
      <c r="BC45" s="10">
        <f>IF(BB45&gt;0, BB45/BB$6*10000, 0)</f>
        <v>65.608388422270224</v>
      </c>
      <c r="BD45" s="10"/>
      <c r="BE45" s="10"/>
      <c r="BF45" s="10"/>
      <c r="BG45" s="17">
        <v>17</v>
      </c>
      <c r="BH45" s="40">
        <f>IF(BG45&gt;0, BG45/BG$6*2000, 0)</f>
        <v>63.670411985018731</v>
      </c>
      <c r="BI45" s="17"/>
      <c r="BJ45" s="17"/>
      <c r="BK45" s="3"/>
      <c r="BL45" s="1"/>
      <c r="BM45" s="1"/>
      <c r="BN45" s="1"/>
    </row>
    <row r="46" spans="1:66" s="4" customFormat="1" ht="20.100000000000001" customHeight="1" x14ac:dyDescent="0.25">
      <c r="A46" s="1"/>
      <c r="B46" s="1">
        <v>46</v>
      </c>
      <c r="C46" s="26">
        <v>40</v>
      </c>
      <c r="D46" s="1" t="str">
        <f>IF(C46&lt;B46,"▲"&amp;B46-C46,IF(C46&gt;B46,"▼"&amp;C46-B46,"—"))</f>
        <v>▲6</v>
      </c>
      <c r="E46" s="2" t="s">
        <v>64</v>
      </c>
      <c r="F46" s="27">
        <f>G46+O46+W46+AE46+BC46+BH46</f>
        <v>424.7033597854504</v>
      </c>
      <c r="G46" s="12">
        <f>IF(COUNTIF(H46:INDEX(H46:N46,$B$1),"&gt;0")=0,0,
(SUMIF(H46:INDEX(H46:N46,$B$1),"&gt;0",H46:INDEX(H46:N46,$B$1))*$B$1/COUNTIF(H46:INDEX(H46:N46,$B$1),"&gt;0"))*
IF($B$1-COUNTIF(H46:INDEX(H46:N46,$B$1),"&gt;0")&lt;=2,1,
IF($B$1-COUNTIF(H46:INDEX(H46:N46,$B$1),"&gt;0")=3,0.8,
IF($B$1-COUNTIF(H46:INDEX(H46:N46,$B$1),"&gt;0")=4,0.6,0))))</f>
        <v>218</v>
      </c>
      <c r="H46" s="3">
        <v>36</v>
      </c>
      <c r="I46" s="3">
        <v>35</v>
      </c>
      <c r="J46" s="3">
        <v>23</v>
      </c>
      <c r="K46" s="3">
        <v>17</v>
      </c>
      <c r="L46" s="3">
        <v>107</v>
      </c>
      <c r="M46" s="3"/>
      <c r="N46" s="3"/>
      <c r="O46" s="10">
        <f>0.2*IF(COUNTIF(P46:INDEX(P46:V46,$B$1),"&gt;0")=0,0,
(SUMIF(P46:INDEX(P46:V46,$B$1),"&gt;0",P46:INDEX(P46:V46,$B$1))*$B$1/COUNTIF(P46:INDEX(P46:V46,$B$1),"&gt;0"))*
IF($B$1-COUNTIF(P46:INDEX(P46:V46,$B$1),"&gt;0")&lt;=2,1,
IF($B$1-COUNTIF(P46:INDEX(P46:V46,$B$1),"&gt;0")=3,0.8,
IF($B$1-COUNTIF(P46:INDEX(P46:V46,$B$1),"&gt;0")=4,0.6,0))))</f>
        <v>37.200000000000003</v>
      </c>
      <c r="P46" s="3">
        <v>40</v>
      </c>
      <c r="Q46" s="3">
        <v>40</v>
      </c>
      <c r="R46" s="3">
        <v>35</v>
      </c>
      <c r="S46" s="3">
        <v>37</v>
      </c>
      <c r="T46" s="3">
        <v>34</v>
      </c>
      <c r="U46" s="3"/>
      <c r="V46" s="3"/>
      <c r="W46" s="3">
        <f>MIN(100,
IF($B$1&gt;=1,IFERROR(VALUE(SUBSTITUTE(SUBSTITUTE(TRIM(X46),"A",""),"B","")),0),0)+
IF($B$1&gt;=2,IFERROR(VALUE(SUBSTITUTE(SUBSTITUTE(TRIM(Y46),"A",""),"B","")),0),0)+
IF($B$1&gt;=3,IFERROR(VALUE(SUBSTITUTE(SUBSTITUTE(TRIM(Z46),"A",""),"B","")),0),0)+
IF($B$1&gt;=4,IFERROR(VALUE(SUBSTITUTE(SUBSTITUTE(TRIM(AA46),"A",""),"B","")),0),0)+
IF($B$1&gt;=5,IFERROR(VALUE(SUBSTITUTE(SUBSTITUTE(TRIM(AB46),"A",""),"B","")),0),0)+
IF($B$1&gt;=6,IFERROR(VALUE(SUBSTITUTE(SUBSTITUTE(TRIM(AC46),"A",""),"B","")),0),0)+
IF($B$1&gt;=7,IFERROR(VALUE(SUBSTITUTE(SUBSTITUTE(TRIM(AD46),"A",""),"B","")),0),0)
)</f>
        <v>90</v>
      </c>
      <c r="X46" s="3" t="s">
        <v>17</v>
      </c>
      <c r="Y46" s="3" t="s">
        <v>17</v>
      </c>
      <c r="Z46" s="3" t="s">
        <v>34</v>
      </c>
      <c r="AA46" s="3" t="s">
        <v>134</v>
      </c>
      <c r="AB46" s="3" t="s">
        <v>134</v>
      </c>
      <c r="AC46" s="3"/>
      <c r="AD46" s="3"/>
      <c r="AE46" s="19">
        <f>AH46+AK46+AN46+AQ46+AT46+AW46+AZ46</f>
        <v>0</v>
      </c>
      <c r="AF46" s="10"/>
      <c r="AG46" s="10">
        <f>SQRT(AF46)</f>
        <v>0</v>
      </c>
      <c r="AH46" s="10">
        <f>IF(AG46&gt;0,AG46/AG$6*1000, 0)</f>
        <v>0</v>
      </c>
      <c r="AI46" s="10"/>
      <c r="AJ46" s="10">
        <f>SQRT(AI46)</f>
        <v>0</v>
      </c>
      <c r="AK46" s="10">
        <f>IF(AJ46&gt;0,AJ46/AJ$6*1000, 0)</f>
        <v>0</v>
      </c>
      <c r="AL46" s="10"/>
      <c r="AM46" s="10">
        <f>SQRT(AL46)</f>
        <v>0</v>
      </c>
      <c r="AN46" s="10">
        <f>IF(AM46&gt;0,AM46/AM$6*1000, 0)</f>
        <v>0</v>
      </c>
      <c r="AO46" s="10"/>
      <c r="AP46" s="10"/>
      <c r="AQ46" s="10"/>
      <c r="AR46" s="10"/>
      <c r="AS46" s="10"/>
      <c r="AT46" s="10"/>
      <c r="AU46" s="10"/>
      <c r="AV46" s="10"/>
      <c r="AW46" s="10"/>
      <c r="AX46" s="17"/>
      <c r="AY46" s="10">
        <f>SQRT(AX46)</f>
        <v>0</v>
      </c>
      <c r="AZ46" s="21">
        <f>IF(AY46&gt;0, AY46/AY$6*1000, 0)</f>
        <v>0</v>
      </c>
      <c r="BA46" s="16">
        <v>0.08</v>
      </c>
      <c r="BB46" s="15">
        <f>SQRT(BA46)</f>
        <v>0.28284271247461901</v>
      </c>
      <c r="BC46" s="10">
        <f>IF(BB46&gt;0, BB46/BB$6*10000, 0)</f>
        <v>75.758041433390488</v>
      </c>
      <c r="BD46" s="10"/>
      <c r="BE46" s="10"/>
      <c r="BF46" s="10"/>
      <c r="BG46" s="17">
        <v>1</v>
      </c>
      <c r="BH46" s="40">
        <f>IF(BG46&gt;0, BG46/BG$6*2000, 0)</f>
        <v>3.7453183520599249</v>
      </c>
      <c r="BI46" s="17"/>
      <c r="BJ46" s="17"/>
      <c r="BK46" s="3"/>
      <c r="BL46" s="1"/>
      <c r="BM46" s="1"/>
      <c r="BN46" s="1"/>
    </row>
    <row r="47" spans="1:66" s="4" customFormat="1" ht="20.100000000000001" customHeight="1" x14ac:dyDescent="0.25">
      <c r="A47" s="1"/>
      <c r="B47" s="1">
        <v>49</v>
      </c>
      <c r="C47" s="26">
        <v>41</v>
      </c>
      <c r="D47" s="1" t="str">
        <f>IF(C47&lt;B47,"▲"&amp;B47-C47,IF(C47&gt;B47,"▼"&amp;C47-B47,"—"))</f>
        <v>▲8</v>
      </c>
      <c r="E47" s="2" t="s">
        <v>57</v>
      </c>
      <c r="F47" s="27">
        <f>G47+O47+W47+AE47+BC47+BH47</f>
        <v>420.65961796157592</v>
      </c>
      <c r="G47" s="12">
        <f>IF(COUNTIF(H47:INDEX(H47:N47,$B$1),"&gt;0")=0,0,
(SUMIF(H47:INDEX(H47:N47,$B$1),"&gt;0",H47:INDEX(H47:N47,$B$1))*$B$1/COUNTIF(H47:INDEX(H47:N47,$B$1),"&gt;0"))*
IF($B$1-COUNTIF(H47:INDEX(H47:N47,$B$1),"&gt;0")&lt;=2,1,
IF($B$1-COUNTIF(H47:INDEX(H47:N47,$B$1),"&gt;0")=3,0.8,
IF($B$1-COUNTIF(H47:INDEX(H47:N47,$B$1),"&gt;0")=4,0.6,0))))</f>
        <v>249</v>
      </c>
      <c r="H47" s="3">
        <v>67</v>
      </c>
      <c r="I47" s="3">
        <v>53</v>
      </c>
      <c r="J47" s="3">
        <v>54</v>
      </c>
      <c r="K47" s="3">
        <v>28</v>
      </c>
      <c r="L47" s="3">
        <v>47</v>
      </c>
      <c r="M47" s="3"/>
      <c r="N47" s="3"/>
      <c r="O47" s="10">
        <f>0.2*IF(COUNTIF(P47:INDEX(P47:V47,$B$1),"&gt;0")=0,0,
(SUMIF(P47:INDEX(P47:V47,$B$1),"&gt;0",P47:INDEX(P47:V47,$B$1))*$B$1/COUNTIF(P47:INDEX(P47:V47,$B$1),"&gt;0"))*
IF($B$1-COUNTIF(P47:INDEX(P47:V47,$B$1),"&gt;0")&lt;=2,1,
IF($B$1-COUNTIF(P47:INDEX(P47:V47,$B$1),"&gt;0")=3,0.8,
IF($B$1-COUNTIF(P47:INDEX(P47:V47,$B$1),"&gt;0")=4,0.6,0))))</f>
        <v>35.200000000000003</v>
      </c>
      <c r="P47" s="3">
        <v>42</v>
      </c>
      <c r="Q47" s="3">
        <v>29</v>
      </c>
      <c r="R47" s="3">
        <v>39</v>
      </c>
      <c r="S47" s="3">
        <v>26</v>
      </c>
      <c r="T47" s="3">
        <v>40</v>
      </c>
      <c r="U47" s="3"/>
      <c r="V47" s="3"/>
      <c r="W47" s="3">
        <f>MIN(100,
IF($B$1&gt;=1,IFERROR(VALUE(SUBSTITUTE(SUBSTITUTE(TRIM(X47),"A",""),"B","")),0),0)+
IF($B$1&gt;=2,IFERROR(VALUE(SUBSTITUTE(SUBSTITUTE(TRIM(Y47),"A",""),"B","")),0),0)+
IF($B$1&gt;=3,IFERROR(VALUE(SUBSTITUTE(SUBSTITUTE(TRIM(Z47),"A",""),"B","")),0),0)+
IF($B$1&gt;=4,IFERROR(VALUE(SUBSTITUTE(SUBSTITUTE(TRIM(AA47),"A",""),"B","")),0),0)+
IF($B$1&gt;=5,IFERROR(VALUE(SUBSTITUTE(SUBSTITUTE(TRIM(AB47),"A",""),"B","")),0),0)+
IF($B$1&gt;=6,IFERROR(VALUE(SUBSTITUTE(SUBSTITUTE(TRIM(AC47),"A",""),"B","")),0),0)+
IF($B$1&gt;=7,IFERROR(VALUE(SUBSTITUTE(SUBSTITUTE(TRIM(AD47),"A",""),"B","")),0),0)
)</f>
        <v>0</v>
      </c>
      <c r="X47" s="3"/>
      <c r="Y47" s="3"/>
      <c r="Z47" s="3"/>
      <c r="AA47" s="3"/>
      <c r="AB47" s="3"/>
      <c r="AC47" s="3"/>
      <c r="AD47" s="3"/>
      <c r="AE47" s="19">
        <f>AH47+AK47+AN47+AQ47+AT47+AW47+AZ47</f>
        <v>53.210939824065626</v>
      </c>
      <c r="AF47" s="10"/>
      <c r="AG47" s="10">
        <f>SQRT(AF47)</f>
        <v>0</v>
      </c>
      <c r="AH47" s="10">
        <f>IF(AG47&gt;0,AG47/AG$6*1000, 0)</f>
        <v>0</v>
      </c>
      <c r="AI47" s="10">
        <v>1.4</v>
      </c>
      <c r="AJ47" s="10">
        <f>SQRT(AI47)</f>
        <v>1.1832159566199232</v>
      </c>
      <c r="AK47" s="10">
        <f>IF(AJ47&gt;0,AJ47/AJ$6*1000, 0)</f>
        <v>33.39795086675408</v>
      </c>
      <c r="AL47" s="10">
        <v>0.1</v>
      </c>
      <c r="AM47" s="10">
        <f>SQRT(AL47)</f>
        <v>0.31622776601683794</v>
      </c>
      <c r="AN47" s="10">
        <f>IF(AM47&gt;0,AM47/AM$6*1000, 0)</f>
        <v>12.802206142256285</v>
      </c>
      <c r="AO47" s="10"/>
      <c r="AP47" s="10"/>
      <c r="AQ47" s="10"/>
      <c r="AR47" s="10"/>
      <c r="AS47" s="10"/>
      <c r="AT47" s="10"/>
      <c r="AU47" s="10"/>
      <c r="AV47" s="10"/>
      <c r="AW47" s="10"/>
      <c r="AX47" s="17">
        <v>4</v>
      </c>
      <c r="AY47" s="10">
        <f>SQRT(AX47)</f>
        <v>2</v>
      </c>
      <c r="AZ47" s="21">
        <f>IF(AY47&gt;0, AY47/AY$6*1000, 0)</f>
        <v>7.0107828150552596</v>
      </c>
      <c r="BA47" s="16">
        <v>0.08</v>
      </c>
      <c r="BB47" s="15">
        <f>SQRT(BA47)</f>
        <v>0.28284271247461901</v>
      </c>
      <c r="BC47" s="10">
        <f>IF(BB47&gt;0, BB47/BB$6*10000, 0)</f>
        <v>75.758041433390488</v>
      </c>
      <c r="BD47" s="10"/>
      <c r="BE47" s="10"/>
      <c r="BF47" s="10"/>
      <c r="BG47" s="17">
        <v>2</v>
      </c>
      <c r="BH47" s="40">
        <f>IF(BG47&gt;0, BG47/BG$6*2000, 0)</f>
        <v>7.4906367041198498</v>
      </c>
      <c r="BI47" s="17"/>
      <c r="BJ47" s="17"/>
      <c r="BK47" s="3"/>
      <c r="BL47" s="1"/>
      <c r="BM47" s="1"/>
      <c r="BN47" s="1"/>
    </row>
    <row r="48" spans="1:66" s="4" customFormat="1" ht="20.100000000000001" customHeight="1" x14ac:dyDescent="0.25">
      <c r="A48" s="1"/>
      <c r="B48" s="1">
        <v>42</v>
      </c>
      <c r="C48" s="26">
        <v>42</v>
      </c>
      <c r="D48" s="1" t="str">
        <f>IF(C48&lt;B48,"▲"&amp;B48-C48,IF(C48&gt;B48,"▼"&amp;C48-B48,"—"))</f>
        <v>—</v>
      </c>
      <c r="E48" s="2" t="s">
        <v>63</v>
      </c>
      <c r="F48" s="27">
        <f>G48+O48+W48+AE48+BC48+BH48</f>
        <v>409.93557081921165</v>
      </c>
      <c r="G48" s="12">
        <f>IF(COUNTIF(H48:INDEX(H48:N48,$B$1),"&gt;0")=0,0,
(SUMIF(H48:INDEX(H48:N48,$B$1),"&gt;0",H48:INDEX(H48:N48,$B$1))*$B$1/COUNTIF(H48:INDEX(H48:N48,$B$1),"&gt;0"))*
IF($B$1-COUNTIF(H48:INDEX(H48:N48,$B$1),"&gt;0")&lt;=2,1,
IF($B$1-COUNTIF(H48:INDEX(H48:N48,$B$1),"&gt;0")=3,0.8,
IF($B$1-COUNTIF(H48:INDEX(H48:N48,$B$1),"&gt;0")=4,0.6,0))))</f>
        <v>233</v>
      </c>
      <c r="H48" s="3">
        <v>47</v>
      </c>
      <c r="I48" s="3">
        <v>50</v>
      </c>
      <c r="J48" s="3">
        <v>50</v>
      </c>
      <c r="K48" s="3">
        <v>43</v>
      </c>
      <c r="L48" s="3">
        <v>43</v>
      </c>
      <c r="M48" s="3"/>
      <c r="N48" s="3"/>
      <c r="O48" s="10">
        <f>0.2*IF(COUNTIF(P48:INDEX(P48:V48,$B$1),"&gt;0")=0,0,
(SUMIF(P48:INDEX(P48:V48,$B$1),"&gt;0",P48:INDEX(P48:V48,$B$1))*$B$1/COUNTIF(P48:INDEX(P48:V48,$B$1),"&gt;0"))*
IF($B$1-COUNTIF(P48:INDEX(P48:V48,$B$1),"&gt;0")&lt;=2,1,
IF($B$1-COUNTIF(P48:INDEX(P48:V48,$B$1),"&gt;0")=3,0.8,
IF($B$1-COUNTIF(P48:INDEX(P48:V48,$B$1),"&gt;0")=4,0.6,0))))</f>
        <v>42.400000000000006</v>
      </c>
      <c r="P48" s="3">
        <v>46</v>
      </c>
      <c r="Q48" s="3">
        <v>35</v>
      </c>
      <c r="R48" s="3">
        <v>43</v>
      </c>
      <c r="S48" s="3">
        <v>44</v>
      </c>
      <c r="T48" s="3">
        <v>44</v>
      </c>
      <c r="U48" s="3"/>
      <c r="V48" s="3"/>
      <c r="W48" s="3">
        <f>MIN(100,
IF($B$1&gt;=1,IFERROR(VALUE(SUBSTITUTE(SUBSTITUTE(TRIM(X48),"A",""),"B","")),0),0)+
IF($B$1&gt;=2,IFERROR(VALUE(SUBSTITUTE(SUBSTITUTE(TRIM(Y48),"A",""),"B","")),0),0)+
IF($B$1&gt;=3,IFERROR(VALUE(SUBSTITUTE(SUBSTITUTE(TRIM(Z48),"A",""),"B","")),0),0)+
IF($B$1&gt;=4,IFERROR(VALUE(SUBSTITUTE(SUBSTITUTE(TRIM(AA48),"A",""),"B","")),0),0)+
IF($B$1&gt;=5,IFERROR(VALUE(SUBSTITUTE(SUBSTITUTE(TRIM(AB48),"A",""),"B","")),0),0)+
IF($B$1&gt;=6,IFERROR(VALUE(SUBSTITUTE(SUBSTITUTE(TRIM(AC48),"A",""),"B","")),0),0)+
IF($B$1&gt;=7,IFERROR(VALUE(SUBSTITUTE(SUBSTITUTE(TRIM(AD48),"A",""),"B","")),0),0)
)</f>
        <v>0</v>
      </c>
      <c r="X48" s="3"/>
      <c r="Y48" s="3"/>
      <c r="Z48" s="3"/>
      <c r="AA48" s="3"/>
      <c r="AB48" s="3"/>
      <c r="AC48" s="3"/>
      <c r="AD48" s="3"/>
      <c r="AE48" s="19">
        <f>AH48+AK48+AN48+AQ48+AT48+AW48+AZ48</f>
        <v>0</v>
      </c>
      <c r="AF48" s="10"/>
      <c r="AG48" s="10">
        <f>SQRT(AF48)</f>
        <v>0</v>
      </c>
      <c r="AH48" s="10">
        <f>IF(AG48&gt;0,AG48/AG$6*1000, 0)</f>
        <v>0</v>
      </c>
      <c r="AI48" s="10"/>
      <c r="AJ48" s="10">
        <f>SQRT(AI48)</f>
        <v>0</v>
      </c>
      <c r="AK48" s="10">
        <f>IF(AJ48&gt;0,AJ48/AJ$6*1000, 0)</f>
        <v>0</v>
      </c>
      <c r="AL48" s="10"/>
      <c r="AM48" s="10">
        <f>SQRT(AL48)</f>
        <v>0</v>
      </c>
      <c r="AN48" s="10">
        <f>IF(AM48&gt;0,AM48/AM$6*1000, 0)</f>
        <v>0</v>
      </c>
      <c r="AO48" s="10"/>
      <c r="AP48" s="10"/>
      <c r="AQ48" s="10"/>
      <c r="AR48" s="10"/>
      <c r="AS48" s="10"/>
      <c r="AT48" s="10"/>
      <c r="AU48" s="10"/>
      <c r="AV48" s="10"/>
      <c r="AW48" s="10"/>
      <c r="AX48" s="17"/>
      <c r="AY48" s="10">
        <f>SQRT(AX48)</f>
        <v>0</v>
      </c>
      <c r="AZ48" s="21">
        <f>IF(AY48&gt;0, AY48/AY$6*1000, 0)</f>
        <v>0</v>
      </c>
      <c r="BA48" s="16">
        <v>7.0000000000000007E-2</v>
      </c>
      <c r="BB48" s="15">
        <f>SQRT(BA48)</f>
        <v>0.26457513110645908</v>
      </c>
      <c r="BC48" s="10">
        <f>IF(BB48&gt;0, BB48/BB$6*10000, 0)</f>
        <v>70.865158834192954</v>
      </c>
      <c r="BD48" s="10"/>
      <c r="BE48" s="10"/>
      <c r="BF48" s="10"/>
      <c r="BG48" s="17">
        <v>17</v>
      </c>
      <c r="BH48" s="40">
        <f>IF(BG48&gt;0, BG48/BG$6*2000, 0)</f>
        <v>63.670411985018731</v>
      </c>
      <c r="BI48" s="17"/>
      <c r="BJ48" s="17"/>
      <c r="BK48" s="3"/>
      <c r="BL48" s="1"/>
      <c r="BM48" s="1"/>
      <c r="BN48" s="1"/>
    </row>
    <row r="49" spans="1:66" s="4" customFormat="1" ht="20.100000000000001" customHeight="1" x14ac:dyDescent="0.25">
      <c r="A49" s="1"/>
      <c r="B49" s="1">
        <v>48</v>
      </c>
      <c r="C49" s="26">
        <v>43</v>
      </c>
      <c r="D49" s="1" t="str">
        <f>IF(C49&lt;B49,"▲"&amp;B49-C49,IF(C49&gt;B49,"▼"&amp;C49-B49,"—"))</f>
        <v>▲5</v>
      </c>
      <c r="E49" s="2" t="s">
        <v>56</v>
      </c>
      <c r="F49" s="27">
        <f>G49+O49+W49+AE49+BC49+BH49</f>
        <v>408.73498018256981</v>
      </c>
      <c r="G49" s="12">
        <f>IF(COUNTIF(H49:INDEX(H49:N49,$B$1),"&gt;0")=0,0,
(SUMIF(H49:INDEX(H49:N49,$B$1),"&gt;0",H49:INDEX(H49:N49,$B$1))*$B$1/COUNTIF(H49:INDEX(H49:N49,$B$1),"&gt;0"))*
IF($B$1-COUNTIF(H49:INDEX(H49:N49,$B$1),"&gt;0")&lt;=2,1,
IF($B$1-COUNTIF(H49:INDEX(H49:N49,$B$1),"&gt;0")=3,0.8,
IF($B$1-COUNTIF(H49:INDEX(H49:N49,$B$1),"&gt;0")=4,0.6,0))))</f>
        <v>290</v>
      </c>
      <c r="H49" s="3">
        <v>41</v>
      </c>
      <c r="I49" s="3">
        <v>90</v>
      </c>
      <c r="J49" s="3">
        <v>52</v>
      </c>
      <c r="K49" s="3">
        <v>73</v>
      </c>
      <c r="L49" s="3">
        <v>34</v>
      </c>
      <c r="M49" s="3"/>
      <c r="N49" s="3"/>
      <c r="O49" s="10">
        <f>0.2*IF(COUNTIF(P49:INDEX(P49:V49,$B$1),"&gt;0")=0,0,
(SUMIF(P49:INDEX(P49:V49,$B$1),"&gt;0",P49:INDEX(P49:V49,$B$1))*$B$1/COUNTIF(P49:INDEX(P49:V49,$B$1),"&gt;0"))*
IF($B$1-COUNTIF(P49:INDEX(P49:V49,$B$1),"&gt;0")&lt;=2,1,
IF($B$1-COUNTIF(P49:INDEX(P49:V49,$B$1),"&gt;0")=3,0.8,
IF($B$1-COUNTIF(P49:INDEX(P49:V49,$B$1),"&gt;0")=4,0.6,0))))</f>
        <v>34.4</v>
      </c>
      <c r="P49" s="3">
        <v>14</v>
      </c>
      <c r="Q49" s="3">
        <v>29</v>
      </c>
      <c r="R49" s="3">
        <v>57</v>
      </c>
      <c r="S49" s="3">
        <v>47</v>
      </c>
      <c r="T49" s="3">
        <v>25</v>
      </c>
      <c r="U49" s="3"/>
      <c r="V49" s="3"/>
      <c r="W49" s="3">
        <f>MIN(100,
IF($B$1&gt;=1,IFERROR(VALUE(SUBSTITUTE(SUBSTITUTE(TRIM(X49),"A",""),"B","")),0),0)+
IF($B$1&gt;=2,IFERROR(VALUE(SUBSTITUTE(SUBSTITUTE(TRIM(Y49),"A",""),"B","")),0),0)+
IF($B$1&gt;=3,IFERROR(VALUE(SUBSTITUTE(SUBSTITUTE(TRIM(Z49),"A",""),"B","")),0),0)+
IF($B$1&gt;=4,IFERROR(VALUE(SUBSTITUTE(SUBSTITUTE(TRIM(AA49),"A",""),"B","")),0),0)+
IF($B$1&gt;=5,IFERROR(VALUE(SUBSTITUTE(SUBSTITUTE(TRIM(AB49),"A",""),"B","")),0),0)+
IF($B$1&gt;=6,IFERROR(VALUE(SUBSTITUTE(SUBSTITUTE(TRIM(AC49),"A",""),"B","")),0),0)+
IF($B$1&gt;=7,IFERROR(VALUE(SUBSTITUTE(SUBSTITUTE(TRIM(AD49),"A",""),"B","")),0),0)
)</f>
        <v>0</v>
      </c>
      <c r="X49" s="3"/>
      <c r="Y49" s="3"/>
      <c r="Z49" s="3"/>
      <c r="AA49" s="3"/>
      <c r="AB49" s="3"/>
      <c r="AC49" s="3"/>
      <c r="AD49" s="3"/>
      <c r="AE49" s="19">
        <f>AH49+AK49+AN49+AQ49+AT49+AW49+AZ49</f>
        <v>0</v>
      </c>
      <c r="AF49" s="10"/>
      <c r="AG49" s="10">
        <f>SQRT(AF49)</f>
        <v>0</v>
      </c>
      <c r="AH49" s="10">
        <f>IF(AG49&gt;0,AG49/AG$6*1000, 0)</f>
        <v>0</v>
      </c>
      <c r="AI49" s="10"/>
      <c r="AJ49" s="10">
        <f>SQRT(AI49)</f>
        <v>0</v>
      </c>
      <c r="AK49" s="10">
        <f>IF(AJ49&gt;0,AJ49/AJ$6*1000, 0)</f>
        <v>0</v>
      </c>
      <c r="AL49" s="10"/>
      <c r="AM49" s="10">
        <f>SQRT(AL49)</f>
        <v>0</v>
      </c>
      <c r="AN49" s="10">
        <f>IF(AM49&gt;0,AM49/AM$6*1000, 0)</f>
        <v>0</v>
      </c>
      <c r="AO49" s="10"/>
      <c r="AP49" s="10"/>
      <c r="AQ49" s="10"/>
      <c r="AR49" s="10"/>
      <c r="AS49" s="10"/>
      <c r="AT49" s="10"/>
      <c r="AU49" s="10"/>
      <c r="AV49" s="10"/>
      <c r="AW49" s="10"/>
      <c r="AX49" s="17"/>
      <c r="AY49" s="10">
        <f>SQRT(AX49)</f>
        <v>0</v>
      </c>
      <c r="AZ49" s="21">
        <f>IF(AY49&gt;0, AY49/AY$6*1000, 0)</f>
        <v>0</v>
      </c>
      <c r="BA49" s="16">
        <v>0.06</v>
      </c>
      <c r="BB49" s="15">
        <f>SQRT(BA49)</f>
        <v>0.2449489742783178</v>
      </c>
      <c r="BC49" s="10">
        <f>IF(BB49&gt;0, BB49/BB$6*10000, 0)</f>
        <v>65.608388422270224</v>
      </c>
      <c r="BD49" s="10"/>
      <c r="BE49" s="10"/>
      <c r="BF49" s="10"/>
      <c r="BG49" s="17">
        <v>5</v>
      </c>
      <c r="BH49" s="40">
        <f>IF(BG49&gt;0, BG49/BG$6*2000, 0)</f>
        <v>18.726591760299627</v>
      </c>
      <c r="BI49" s="17"/>
      <c r="BJ49" s="17"/>
      <c r="BK49" s="3"/>
      <c r="BL49" s="1"/>
      <c r="BM49" s="1"/>
      <c r="BN49" s="1"/>
    </row>
    <row r="50" spans="1:66" s="4" customFormat="1" ht="20.100000000000001" customHeight="1" x14ac:dyDescent="0.25">
      <c r="A50" s="1"/>
      <c r="B50" s="1">
        <v>41</v>
      </c>
      <c r="C50" s="26">
        <v>44</v>
      </c>
      <c r="D50" s="1" t="str">
        <f>IF(C50&lt;B50,"▲"&amp;B50-C50,IF(C50&gt;B50,"▼"&amp;C50-B50,"—"))</f>
        <v>▼3</v>
      </c>
      <c r="E50" s="2" t="s">
        <v>85</v>
      </c>
      <c r="F50" s="27">
        <f>G50+O50+W50+AE50+BC50+BH50</f>
        <v>406.01371957783448</v>
      </c>
      <c r="G50" s="12">
        <f>IF(COUNTIF(H50:INDEX(H50:N50,$B$1),"&gt;0")=0,0,
(SUMIF(H50:INDEX(H50:N50,$B$1),"&gt;0",H50:INDEX(H50:N50,$B$1))*$B$1/COUNTIF(H50:INDEX(H50:N50,$B$1),"&gt;0"))*
IF($B$1-COUNTIF(H50:INDEX(H50:N50,$B$1),"&gt;0")&lt;=2,1,
IF($B$1-COUNTIF(H50:INDEX(H50:N50,$B$1),"&gt;0")=3,0.8,
IF($B$1-COUNTIF(H50:INDEX(H50:N50,$B$1),"&gt;0")=4,0.6,0))))</f>
        <v>134</v>
      </c>
      <c r="H50" s="3">
        <v>19</v>
      </c>
      <c r="I50" s="3">
        <v>25</v>
      </c>
      <c r="J50" s="3">
        <v>33</v>
      </c>
      <c r="K50" s="3">
        <v>27</v>
      </c>
      <c r="L50" s="3">
        <v>30</v>
      </c>
      <c r="M50" s="3"/>
      <c r="N50" s="3"/>
      <c r="O50" s="10">
        <f>0.2*IF(COUNTIF(P50:INDEX(P50:V50,$B$1),"&gt;0")=0,0,
(SUMIF(P50:INDEX(P50:V50,$B$1),"&gt;0",P50:INDEX(P50:V50,$B$1))*$B$1/COUNTIF(P50:INDEX(P50:V50,$B$1),"&gt;0"))*
IF($B$1-COUNTIF(P50:INDEX(P50:V50,$B$1),"&gt;0")&lt;=2,1,
IF($B$1-COUNTIF(P50:INDEX(P50:V50,$B$1),"&gt;0")=3,0.8,
IF($B$1-COUNTIF(P50:INDEX(P50:V50,$B$1),"&gt;0")=4,0.6,0))))</f>
        <v>43</v>
      </c>
      <c r="P50" s="3">
        <v>45</v>
      </c>
      <c r="Q50" s="3">
        <v>36</v>
      </c>
      <c r="R50" s="3">
        <v>38</v>
      </c>
      <c r="S50" s="3">
        <v>47</v>
      </c>
      <c r="T50" s="3">
        <v>49</v>
      </c>
      <c r="U50" s="3"/>
      <c r="V50" s="3"/>
      <c r="W50" s="3">
        <f>MIN(100,
IF($B$1&gt;=1,IFERROR(VALUE(SUBSTITUTE(SUBSTITUTE(TRIM(X50),"A",""),"B","")),0),0)+
IF($B$1&gt;=2,IFERROR(VALUE(SUBSTITUTE(SUBSTITUTE(TRIM(Y50),"A",""),"B","")),0),0)+
IF($B$1&gt;=3,IFERROR(VALUE(SUBSTITUTE(SUBSTITUTE(TRIM(Z50),"A",""),"B","")),0),0)+
IF($B$1&gt;=4,IFERROR(VALUE(SUBSTITUTE(SUBSTITUTE(TRIM(AA50),"A",""),"B","")),0),0)+
IF($B$1&gt;=5,IFERROR(VALUE(SUBSTITUTE(SUBSTITUTE(TRIM(AB50),"A",""),"B","")),0),0)+
IF($B$1&gt;=6,IFERROR(VALUE(SUBSTITUTE(SUBSTITUTE(TRIM(AC50),"A",""),"B","")),0),0)+
IF($B$1&gt;=7,IFERROR(VALUE(SUBSTITUTE(SUBSTITUTE(TRIM(AD50),"A",""),"B","")),0),0)
)</f>
        <v>0</v>
      </c>
      <c r="X50" s="3"/>
      <c r="Y50" s="3"/>
      <c r="Z50" s="3"/>
      <c r="AA50" s="3"/>
      <c r="AB50" s="3"/>
      <c r="AC50" s="3"/>
      <c r="AD50" s="3"/>
      <c r="AE50" s="19">
        <f>AH50+AK50+AN50+AQ50+AT50+AW50+AZ50</f>
        <v>94.05162438123412</v>
      </c>
      <c r="AF50" s="10"/>
      <c r="AG50" s="10">
        <f>SQRT(AF50)</f>
        <v>0</v>
      </c>
      <c r="AH50" s="10">
        <f>IF(AG50&gt;0,AG50/AG$6*1000, 0)</f>
        <v>0</v>
      </c>
      <c r="AI50" s="10">
        <v>0.6</v>
      </c>
      <c r="AJ50" s="10">
        <f>SQRT(AI50)</f>
        <v>0.7745966692414834</v>
      </c>
      <c r="AK50" s="10">
        <f>IF(AJ50&gt;0,AJ50/AJ$6*1000, 0)</f>
        <v>21.864091129045228</v>
      </c>
      <c r="AL50" s="10">
        <v>1.4</v>
      </c>
      <c r="AM50" s="10">
        <f>SQRT(AL50)</f>
        <v>1.1832159566199232</v>
      </c>
      <c r="AN50" s="10">
        <f>IF(AM50&gt;0,AM50/AM$6*1000, 0)</f>
        <v>47.901469179175955</v>
      </c>
      <c r="AO50" s="10"/>
      <c r="AP50" s="10"/>
      <c r="AQ50" s="10"/>
      <c r="AR50" s="10"/>
      <c r="AS50" s="10"/>
      <c r="AT50" s="10"/>
      <c r="AU50" s="10"/>
      <c r="AV50" s="10"/>
      <c r="AW50" s="10"/>
      <c r="AX50" s="17">
        <v>48</v>
      </c>
      <c r="AY50" s="10">
        <f>SQRT(AX50)</f>
        <v>6.9282032302755088</v>
      </c>
      <c r="AZ50" s="21">
        <f>IF(AY50&gt;0, AY50/AY$6*1000, 0)</f>
        <v>24.286064073012934</v>
      </c>
      <c r="BA50" s="16">
        <v>0.24</v>
      </c>
      <c r="BB50" s="15">
        <f>SQRT(BA50)</f>
        <v>0.4898979485566356</v>
      </c>
      <c r="BC50" s="10">
        <f>IF(BB50&gt;0, BB50/BB$6*10000, 0)</f>
        <v>131.21677684454045</v>
      </c>
      <c r="BD50" s="10"/>
      <c r="BE50" s="10"/>
      <c r="BF50" s="10"/>
      <c r="BG50" s="17">
        <v>1</v>
      </c>
      <c r="BH50" s="40">
        <f>IF(BG50&gt;0, BG50/BG$6*2000, 0)</f>
        <v>3.7453183520599249</v>
      </c>
      <c r="BI50" s="17"/>
      <c r="BJ50" s="17"/>
      <c r="BK50" s="3"/>
      <c r="BL50" s="1"/>
      <c r="BM50" s="1"/>
      <c r="BN50" s="1"/>
    </row>
    <row r="51" spans="1:66" s="4" customFormat="1" ht="20.100000000000001" customHeight="1" x14ac:dyDescent="0.25">
      <c r="A51" s="1"/>
      <c r="B51" s="1">
        <v>71</v>
      </c>
      <c r="C51" s="26">
        <v>45</v>
      </c>
      <c r="D51" s="1" t="str">
        <f>IF(C51&lt;B51,"▲"&amp;B51-C51,IF(C51&gt;B51,"▼"&amp;C51-B51,"—"))</f>
        <v>▲26</v>
      </c>
      <c r="E51" s="2" t="s">
        <v>66</v>
      </c>
      <c r="F51" s="27">
        <f>G51+O51+W51+AE51+BC51+BH51</f>
        <v>394.41037841097136</v>
      </c>
      <c r="G51" s="12">
        <f>IF(COUNTIF(H51:INDEX(H51:N51,$B$1),"&gt;0")=0,0,
(SUMIF(H51:INDEX(H51:N51,$B$1),"&gt;0",H51:INDEX(H51:N51,$B$1))*$B$1/COUNTIF(H51:INDEX(H51:N51,$B$1),"&gt;0"))*
IF($B$1-COUNTIF(H51:INDEX(H51:N51,$B$1),"&gt;0")&lt;=2,1,
IF($B$1-COUNTIF(H51:INDEX(H51:N51,$B$1),"&gt;0")=3,0.8,
IF($B$1-COUNTIF(H51:INDEX(H51:N51,$B$1),"&gt;0")=4,0.6,0))))</f>
        <v>244</v>
      </c>
      <c r="H51" s="3">
        <v>46</v>
      </c>
      <c r="I51" s="3">
        <v>46</v>
      </c>
      <c r="J51" s="3">
        <v>47</v>
      </c>
      <c r="K51" s="3">
        <v>57</v>
      </c>
      <c r="L51" s="3">
        <v>48</v>
      </c>
      <c r="M51" s="3"/>
      <c r="N51" s="3"/>
      <c r="O51" s="10">
        <f>0.2*IF(COUNTIF(P51:INDEX(P51:V51,$B$1),"&gt;0")=0,0,
(SUMIF(P51:INDEX(P51:V51,$B$1),"&gt;0",P51:INDEX(P51:V51,$B$1))*$B$1/COUNTIF(P51:INDEX(P51:V51,$B$1),"&gt;0"))*
IF($B$1-COUNTIF(P51:INDEX(P51:V51,$B$1),"&gt;0")&lt;=2,1,
IF($B$1-COUNTIF(P51:INDEX(P51:V51,$B$1),"&gt;0")=3,0.8,
IF($B$1-COUNTIF(P51:INDEX(P51:V51,$B$1),"&gt;0")=4,0.6,0))))</f>
        <v>42.800000000000004</v>
      </c>
      <c r="P51" s="3">
        <v>48</v>
      </c>
      <c r="Q51" s="3">
        <v>36</v>
      </c>
      <c r="R51" s="3">
        <v>41</v>
      </c>
      <c r="S51" s="3">
        <v>45</v>
      </c>
      <c r="T51" s="3">
        <v>44</v>
      </c>
      <c r="U51" s="3"/>
      <c r="V51" s="3"/>
      <c r="W51" s="3">
        <f>MIN(100,
IF($B$1&gt;=1,IFERROR(VALUE(SUBSTITUTE(SUBSTITUTE(TRIM(X51),"A",""),"B","")),0),0)+
IF($B$1&gt;=2,IFERROR(VALUE(SUBSTITUTE(SUBSTITUTE(TRIM(Y51),"A",""),"B","")),0),0)+
IF($B$1&gt;=3,IFERROR(VALUE(SUBSTITUTE(SUBSTITUTE(TRIM(Z51),"A",""),"B","")),0),0)+
IF($B$1&gt;=4,IFERROR(VALUE(SUBSTITUTE(SUBSTITUTE(TRIM(AA51),"A",""),"B","")),0),0)+
IF($B$1&gt;=5,IFERROR(VALUE(SUBSTITUTE(SUBSTITUTE(TRIM(AB51),"A",""),"B","")),0),0)+
IF($B$1&gt;=6,IFERROR(VALUE(SUBSTITUTE(SUBSTITUTE(TRIM(AC51),"A",""),"B","")),0),0)+
IF($B$1&gt;=7,IFERROR(VALUE(SUBSTITUTE(SUBSTITUTE(TRIM(AD51),"A",""),"B","")),0),0)
)</f>
        <v>0</v>
      </c>
      <c r="X51" s="3"/>
      <c r="Y51" s="3"/>
      <c r="Z51" s="3"/>
      <c r="AA51" s="3"/>
      <c r="AB51" s="3"/>
      <c r="AC51" s="3"/>
      <c r="AD51" s="3"/>
      <c r="AE51" s="19">
        <f>AH51+AK51+AN51+AQ51+AT51+AW51+AZ51</f>
        <v>25.246477797881543</v>
      </c>
      <c r="AF51" s="10"/>
      <c r="AG51" s="10">
        <f>SQRT(AF51)</f>
        <v>0</v>
      </c>
      <c r="AH51" s="10">
        <f>IF(AG51&gt;0,AG51/AG$6*1000, 0)</f>
        <v>0</v>
      </c>
      <c r="AI51" s="10">
        <v>0.8</v>
      </c>
      <c r="AJ51" s="10">
        <f>SQRT(AI51)</f>
        <v>0.89442719099991586</v>
      </c>
      <c r="AK51" s="10">
        <f>IF(AJ51&gt;0,AJ51/AJ$6*1000, 0)</f>
        <v>25.246477797881543</v>
      </c>
      <c r="AL51" s="10"/>
      <c r="AM51" s="10">
        <f>SQRT(AL51)</f>
        <v>0</v>
      </c>
      <c r="AN51" s="10">
        <f>IF(AM51&gt;0,AM51/AM$6*1000, 0)</f>
        <v>0</v>
      </c>
      <c r="AO51" s="10"/>
      <c r="AP51" s="10"/>
      <c r="AQ51" s="10"/>
      <c r="AR51" s="10"/>
      <c r="AS51" s="10"/>
      <c r="AT51" s="10"/>
      <c r="AU51" s="10"/>
      <c r="AV51" s="10"/>
      <c r="AW51" s="10"/>
      <c r="AX51" s="17"/>
      <c r="AY51" s="10">
        <f>SQRT(AX51)</f>
        <v>0</v>
      </c>
      <c r="AZ51" s="21">
        <f>IF(AY51&gt;0, AY51/AY$6*1000, 0)</f>
        <v>0</v>
      </c>
      <c r="BA51" s="16">
        <v>0.05</v>
      </c>
      <c r="BB51" s="15">
        <f>SQRT(BA51)</f>
        <v>0.22360679774997896</v>
      </c>
      <c r="BC51" s="10">
        <f>IF(BB51&gt;0, BB51/BB$6*10000, 0)</f>
        <v>59.891990500730294</v>
      </c>
      <c r="BD51" s="10"/>
      <c r="BE51" s="10"/>
      <c r="BF51" s="10"/>
      <c r="BG51" s="17">
        <v>6</v>
      </c>
      <c r="BH51" s="40">
        <f>IF(BG51&gt;0, BG51/BG$6*2000, 0)</f>
        <v>22.471910112359549</v>
      </c>
      <c r="BI51" s="17"/>
      <c r="BJ51" s="17"/>
      <c r="BK51" s="3"/>
      <c r="BL51" s="1"/>
      <c r="BM51" s="1"/>
      <c r="BN51" s="1"/>
    </row>
    <row r="52" spans="1:66" s="4" customFormat="1" ht="20.100000000000001" customHeight="1" x14ac:dyDescent="0.25">
      <c r="A52" s="1"/>
      <c r="B52" s="1">
        <v>51</v>
      </c>
      <c r="C52" s="26">
        <v>46</v>
      </c>
      <c r="D52" s="1" t="str">
        <f>IF(C52&lt;B52,"▲"&amp;B52-C52,IF(C52&gt;B52,"▼"&amp;C52-B52,"—"))</f>
        <v>▲5</v>
      </c>
      <c r="E52" s="2" t="s">
        <v>54</v>
      </c>
      <c r="F52" s="27">
        <f>G52+O52+W52+AE52+BC52+BH52</f>
        <v>390.6083884222702</v>
      </c>
      <c r="G52" s="12">
        <f>IF(COUNTIF(H52:INDEX(H52:N52,$B$1),"&gt;0")=0,0,
(SUMIF(H52:INDEX(H52:N52,$B$1),"&gt;0",H52:INDEX(H52:N52,$B$1))*$B$1/COUNTIF(H52:INDEX(H52:N52,$B$1),"&gt;0"))*
IF($B$1-COUNTIF(H52:INDEX(H52:N52,$B$1),"&gt;0")&lt;=2,1,
IF($B$1-COUNTIF(H52:INDEX(H52:N52,$B$1),"&gt;0")=3,0.8,
IF($B$1-COUNTIF(H52:INDEX(H52:N52,$B$1),"&gt;0")=4,0.6,0))))</f>
        <v>260</v>
      </c>
      <c r="H52" s="3">
        <v>50</v>
      </c>
      <c r="I52" s="3">
        <v>55</v>
      </c>
      <c r="J52" s="3">
        <v>54</v>
      </c>
      <c r="K52" s="3">
        <v>71</v>
      </c>
      <c r="L52" s="3">
        <v>30</v>
      </c>
      <c r="M52" s="3"/>
      <c r="N52" s="3"/>
      <c r="O52" s="10">
        <f>0.2*IF(COUNTIF(P52:INDEX(P52:V52,$B$1),"&gt;0")=0,0,
(SUMIF(P52:INDEX(P52:V52,$B$1),"&gt;0",P52:INDEX(P52:V52,$B$1))*$B$1/COUNTIF(P52:INDEX(P52:V52,$B$1),"&gt;0"))*
IF($B$1-COUNTIF(P52:INDEX(P52:V52,$B$1),"&gt;0")&lt;=2,1,
IF($B$1-COUNTIF(P52:INDEX(P52:V52,$B$1),"&gt;0")=3,0.8,
IF($B$1-COUNTIF(P52:INDEX(P52:V52,$B$1),"&gt;0")=4,0.6,0))))</f>
        <v>45</v>
      </c>
      <c r="P52" s="3">
        <v>46</v>
      </c>
      <c r="Q52" s="3">
        <v>37</v>
      </c>
      <c r="R52" s="3">
        <v>50</v>
      </c>
      <c r="S52" s="3">
        <v>47</v>
      </c>
      <c r="T52" s="3">
        <v>45</v>
      </c>
      <c r="U52" s="3"/>
      <c r="V52" s="3"/>
      <c r="W52" s="3">
        <f>MIN(100,
IF($B$1&gt;=1,IFERROR(VALUE(SUBSTITUTE(SUBSTITUTE(TRIM(X52),"A",""),"B","")),0),0)+
IF($B$1&gt;=2,IFERROR(VALUE(SUBSTITUTE(SUBSTITUTE(TRIM(Y52),"A",""),"B","")),0),0)+
IF($B$1&gt;=3,IFERROR(VALUE(SUBSTITUTE(SUBSTITUTE(TRIM(Z52),"A",""),"B","")),0),0)+
IF($B$1&gt;=4,IFERROR(VALUE(SUBSTITUTE(SUBSTITUTE(TRIM(AA52),"A",""),"B","")),0),0)+
IF($B$1&gt;=5,IFERROR(VALUE(SUBSTITUTE(SUBSTITUTE(TRIM(AB52),"A",""),"B","")),0),0)+
IF($B$1&gt;=6,IFERROR(VALUE(SUBSTITUTE(SUBSTITUTE(TRIM(AC52),"A",""),"B","")),0),0)+
IF($B$1&gt;=7,IFERROR(VALUE(SUBSTITUTE(SUBSTITUTE(TRIM(AD52),"A",""),"B","")),0),0)
)</f>
        <v>20</v>
      </c>
      <c r="X52" s="3" t="s">
        <v>17</v>
      </c>
      <c r="Y52" s="3"/>
      <c r="Z52" s="3"/>
      <c r="AA52" s="3"/>
      <c r="AB52" s="3"/>
      <c r="AC52" s="3"/>
      <c r="AD52" s="3"/>
      <c r="AE52" s="19">
        <f>AH52+AK52+AN52+AQ52+AT52+AW52+AZ52</f>
        <v>0</v>
      </c>
      <c r="AF52" s="10"/>
      <c r="AG52" s="10">
        <f>SQRT(AF52)</f>
        <v>0</v>
      </c>
      <c r="AH52" s="10">
        <f>IF(AG52&gt;0,AG52/AG$6*1000, 0)</f>
        <v>0</v>
      </c>
      <c r="AI52" s="10"/>
      <c r="AJ52" s="10">
        <f>SQRT(AI52)</f>
        <v>0</v>
      </c>
      <c r="AK52" s="10">
        <f>IF(AJ52&gt;0,AJ52/AJ$6*1000, 0)</f>
        <v>0</v>
      </c>
      <c r="AL52" s="10"/>
      <c r="AM52" s="10">
        <f>SQRT(AL52)</f>
        <v>0</v>
      </c>
      <c r="AN52" s="10">
        <f>IF(AM52&gt;0,AM52/AM$6*1000, 0)</f>
        <v>0</v>
      </c>
      <c r="AO52" s="10"/>
      <c r="AP52" s="10"/>
      <c r="AQ52" s="10"/>
      <c r="AR52" s="10"/>
      <c r="AS52" s="10"/>
      <c r="AT52" s="10"/>
      <c r="AU52" s="10"/>
      <c r="AV52" s="10"/>
      <c r="AW52" s="10"/>
      <c r="AX52" s="17"/>
      <c r="AY52" s="10">
        <f>SQRT(AX52)</f>
        <v>0</v>
      </c>
      <c r="AZ52" s="21">
        <f>IF(AY52&gt;0, AY52/AY$6*1000, 0)</f>
        <v>0</v>
      </c>
      <c r="BA52" s="16">
        <v>0.06</v>
      </c>
      <c r="BB52" s="15">
        <f>SQRT(BA52)</f>
        <v>0.2449489742783178</v>
      </c>
      <c r="BC52" s="10">
        <f>IF(BB52&gt;0, BB52/BB$6*10000, 0)</f>
        <v>65.608388422270224</v>
      </c>
      <c r="BD52" s="10"/>
      <c r="BE52" s="10"/>
      <c r="BF52" s="10"/>
      <c r="BG52" s="17"/>
      <c r="BH52" s="40">
        <f>IF(BG52&gt;0, BG52/BG$6*2000, 0)</f>
        <v>0</v>
      </c>
      <c r="BI52" s="17"/>
      <c r="BJ52" s="17"/>
      <c r="BK52" s="3"/>
      <c r="BL52" s="1"/>
      <c r="BM52" s="1"/>
      <c r="BN52" s="1"/>
    </row>
    <row r="53" spans="1:66" s="4" customFormat="1" ht="20.100000000000001" customHeight="1" x14ac:dyDescent="0.25">
      <c r="A53" s="1"/>
      <c r="B53" s="1">
        <v>39</v>
      </c>
      <c r="C53" s="26">
        <v>47</v>
      </c>
      <c r="D53" s="1" t="str">
        <f>IF(C53&lt;B53,"▲"&amp;B53-C53,IF(C53&gt;B53,"▼"&amp;C53-B53,"—"))</f>
        <v>▼8</v>
      </c>
      <c r="E53" s="2" t="s">
        <v>70</v>
      </c>
      <c r="F53" s="27">
        <f>G53+O53+W53+AE53+BC53+BH53</f>
        <v>384.68741145306979</v>
      </c>
      <c r="G53" s="12">
        <f>IF(COUNTIF(H53:INDEX(H53:N53,$B$1),"&gt;0")=0,0,
(SUMIF(H53:INDEX(H53:N53,$B$1),"&gt;0",H53:INDEX(H53:N53,$B$1))*$B$1/COUNTIF(H53:INDEX(H53:N53,$B$1),"&gt;0"))*
IF($B$1-COUNTIF(H53:INDEX(H53:N53,$B$1),"&gt;0")&lt;=2,1,
IF($B$1-COUNTIF(H53:INDEX(H53:N53,$B$1),"&gt;0")=3,0.8,
IF($B$1-COUNTIF(H53:INDEX(H53:N53,$B$1),"&gt;0")=4,0.6,0))))</f>
        <v>171</v>
      </c>
      <c r="H53" s="3">
        <v>29</v>
      </c>
      <c r="I53" s="3">
        <v>46</v>
      </c>
      <c r="J53" s="3">
        <v>46</v>
      </c>
      <c r="K53" s="3">
        <v>18</v>
      </c>
      <c r="L53" s="3">
        <v>32</v>
      </c>
      <c r="M53" s="3"/>
      <c r="N53" s="3"/>
      <c r="O53" s="10">
        <f>0.2*IF(COUNTIF(P53:INDEX(P53:V53,$B$1),"&gt;0")=0,0,
(SUMIF(P53:INDEX(P53:V53,$B$1),"&gt;0",P53:INDEX(P53:V53,$B$1))*$B$1/COUNTIF(P53:INDEX(P53:V53,$B$1),"&gt;0"))*
IF($B$1-COUNTIF(P53:INDEX(P53:V53,$B$1),"&gt;0")&lt;=2,1,
IF($B$1-COUNTIF(P53:INDEX(P53:V53,$B$1),"&gt;0")=3,0.8,
IF($B$1-COUNTIF(P53:INDEX(P53:V53,$B$1),"&gt;0")=4,0.6,0))))</f>
        <v>44.6</v>
      </c>
      <c r="P53" s="3">
        <v>44</v>
      </c>
      <c r="Q53" s="3">
        <v>42</v>
      </c>
      <c r="R53" s="3">
        <v>47</v>
      </c>
      <c r="S53" s="3">
        <v>42</v>
      </c>
      <c r="T53" s="3">
        <v>48</v>
      </c>
      <c r="U53" s="3"/>
      <c r="V53" s="3"/>
      <c r="W53" s="3">
        <f>MIN(100,
IF($B$1&gt;=1,IFERROR(VALUE(SUBSTITUTE(SUBSTITUTE(TRIM(X53),"A",""),"B","")),0),0)+
IF($B$1&gt;=2,IFERROR(VALUE(SUBSTITUTE(SUBSTITUTE(TRIM(Y53),"A",""),"B","")),0),0)+
IF($B$1&gt;=3,IFERROR(VALUE(SUBSTITUTE(SUBSTITUTE(TRIM(Z53),"A",""),"B","")),0),0)+
IF($B$1&gt;=4,IFERROR(VALUE(SUBSTITUTE(SUBSTITUTE(TRIM(AA53),"A",""),"B","")),0),0)+
IF($B$1&gt;=5,IFERROR(VALUE(SUBSTITUTE(SUBSTITUTE(TRIM(AB53),"A",""),"B","")),0),0)+
IF($B$1&gt;=6,IFERROR(VALUE(SUBSTITUTE(SUBSTITUTE(TRIM(AC53),"A",""),"B","")),0),0)+
IF($B$1&gt;=7,IFERROR(VALUE(SUBSTITUTE(SUBSTITUTE(TRIM(AD53),"A",""),"B","")),0),0)
)</f>
        <v>0</v>
      </c>
      <c r="X53" s="3"/>
      <c r="Y53" s="3"/>
      <c r="Z53" s="3"/>
      <c r="AA53" s="3"/>
      <c r="AB53" s="3"/>
      <c r="AC53" s="3"/>
      <c r="AD53" s="3"/>
      <c r="AE53" s="19">
        <f>AH53+AK53+AN53+AQ53+AT53+AW53+AZ53</f>
        <v>24.073458304038152</v>
      </c>
      <c r="AF53" s="10">
        <v>1</v>
      </c>
      <c r="AG53" s="10">
        <f>SQRT(AF53)</f>
        <v>1</v>
      </c>
      <c r="AH53" s="10">
        <f>IF(AG53&gt;0,AG53/AG$6*1000, 0)</f>
        <v>24.073458304038152</v>
      </c>
      <c r="AI53" s="10"/>
      <c r="AJ53" s="10">
        <f>SQRT(AI53)</f>
        <v>0</v>
      </c>
      <c r="AK53" s="10">
        <f>IF(AJ53&gt;0,AJ53/AJ$6*1000, 0)</f>
        <v>0</v>
      </c>
      <c r="AL53" s="10"/>
      <c r="AM53" s="10">
        <f>SQRT(AL53)</f>
        <v>0</v>
      </c>
      <c r="AN53" s="10">
        <f>IF(AM53&gt;0,AM53/AM$6*1000, 0)</f>
        <v>0</v>
      </c>
      <c r="AO53" s="10"/>
      <c r="AP53" s="10"/>
      <c r="AQ53" s="10"/>
      <c r="AR53" s="10"/>
      <c r="AS53" s="10"/>
      <c r="AT53" s="10"/>
      <c r="AU53" s="10"/>
      <c r="AV53" s="10"/>
      <c r="AW53" s="10"/>
      <c r="AX53" s="17"/>
      <c r="AY53" s="10">
        <f>SQRT(AX53)</f>
        <v>0</v>
      </c>
      <c r="AZ53" s="21">
        <f>IF(AY53&gt;0, AY53/AY$6*1000, 0)</f>
        <v>0</v>
      </c>
      <c r="BA53" s="16">
        <v>0.11</v>
      </c>
      <c r="BB53" s="15">
        <f>SQRT(BA53)</f>
        <v>0.33166247903553997</v>
      </c>
      <c r="BC53" s="10">
        <f>IF(BB53&gt;0, BB53/BB$6*10000, 0)</f>
        <v>88.83417786813277</v>
      </c>
      <c r="BD53" s="10"/>
      <c r="BE53" s="10"/>
      <c r="BF53" s="10"/>
      <c r="BG53" s="17">
        <v>15</v>
      </c>
      <c r="BH53" s="40">
        <f>IF(BG53&gt;0, BG53/BG$6*2000, 0)</f>
        <v>56.179775280898873</v>
      </c>
      <c r="BI53" s="17"/>
      <c r="BJ53" s="17"/>
      <c r="BK53" s="3"/>
      <c r="BL53" s="1"/>
      <c r="BM53" s="1"/>
      <c r="BN53" s="1"/>
    </row>
    <row r="54" spans="1:66" s="4" customFormat="1" ht="20.100000000000001" customHeight="1" x14ac:dyDescent="0.25">
      <c r="A54" s="1"/>
      <c r="B54" s="1">
        <v>55</v>
      </c>
      <c r="C54" s="26">
        <v>48</v>
      </c>
      <c r="D54" s="1" t="str">
        <f>IF(C54&lt;B54,"▲"&amp;B54-C54,IF(C54&gt;B54,"▼"&amp;C54-B54,"—"))</f>
        <v>▲7</v>
      </c>
      <c r="E54" s="2" t="s">
        <v>62</v>
      </c>
      <c r="F54" s="27">
        <f>G54+O54+W54+AE54+BC54+BH54</f>
        <v>382.52481457225258</v>
      </c>
      <c r="G54" s="12">
        <f>IF(COUNTIF(H54:INDEX(H54:N54,$B$1),"&gt;0")=0,0,
(SUMIF(H54:INDEX(H54:N54,$B$1),"&gt;0",H54:INDEX(H54:N54,$B$1))*$B$1/COUNTIF(H54:INDEX(H54:N54,$B$1),"&gt;0"))*
IF($B$1-COUNTIF(H54:INDEX(H54:N54,$B$1),"&gt;0")&lt;=2,1,
IF($B$1-COUNTIF(H54:INDEX(H54:N54,$B$1),"&gt;0")=3,0.8,
IF($B$1-COUNTIF(H54:INDEX(H54:N54,$B$1),"&gt;0")=4,0.6,0))))</f>
        <v>227</v>
      </c>
      <c r="H54" s="3">
        <v>47</v>
      </c>
      <c r="I54" s="3">
        <v>50</v>
      </c>
      <c r="J54" s="3">
        <v>48</v>
      </c>
      <c r="K54" s="3">
        <v>44</v>
      </c>
      <c r="L54" s="3">
        <v>38</v>
      </c>
      <c r="M54" s="3"/>
      <c r="N54" s="3"/>
      <c r="O54" s="10">
        <f>0.2*IF(COUNTIF(P54:INDEX(P54:V54,$B$1),"&gt;0")=0,0,
(SUMIF(P54:INDEX(P54:V54,$B$1),"&gt;0",P54:INDEX(P54:V54,$B$1))*$B$1/COUNTIF(P54:INDEX(P54:V54,$B$1),"&gt;0"))*
IF($B$1-COUNTIF(P54:INDEX(P54:V54,$B$1),"&gt;0")&lt;=2,1,
IF($B$1-COUNTIF(P54:INDEX(P54:V54,$B$1),"&gt;0")=3,0.8,
IF($B$1-COUNTIF(P54:INDEX(P54:V54,$B$1),"&gt;0")=4,0.6,0))))</f>
        <v>39.200000000000003</v>
      </c>
      <c r="P54" s="3">
        <v>44</v>
      </c>
      <c r="Q54" s="3">
        <v>34</v>
      </c>
      <c r="R54" s="3">
        <v>42</v>
      </c>
      <c r="S54" s="3">
        <v>45</v>
      </c>
      <c r="T54" s="3">
        <v>31</v>
      </c>
      <c r="U54" s="3"/>
      <c r="V54" s="3"/>
      <c r="W54" s="3">
        <f>MIN(100,
IF($B$1&gt;=1,IFERROR(VALUE(SUBSTITUTE(SUBSTITUTE(TRIM(X54),"A",""),"B","")),0),0)+
IF($B$1&gt;=2,IFERROR(VALUE(SUBSTITUTE(SUBSTITUTE(TRIM(Y54),"A",""),"B","")),0),0)+
IF($B$1&gt;=3,IFERROR(VALUE(SUBSTITUTE(SUBSTITUTE(TRIM(Z54),"A",""),"B","")),0),0)+
IF($B$1&gt;=4,IFERROR(VALUE(SUBSTITUTE(SUBSTITUTE(TRIM(AA54),"A",""),"B","")),0),0)+
IF($B$1&gt;=5,IFERROR(VALUE(SUBSTITUTE(SUBSTITUTE(TRIM(AB54),"A",""),"B","")),0),0)+
IF($B$1&gt;=6,IFERROR(VALUE(SUBSTITUTE(SUBSTITUTE(TRIM(AC54),"A",""),"B","")),0),0)+
IF($B$1&gt;=7,IFERROR(VALUE(SUBSTITUTE(SUBSTITUTE(TRIM(AD54),"A",""),"B","")),0),0)
)</f>
        <v>20</v>
      </c>
      <c r="X54" s="3"/>
      <c r="Y54" s="3"/>
      <c r="Z54" s="3" t="s">
        <v>34</v>
      </c>
      <c r="AA54" s="3" t="s">
        <v>135</v>
      </c>
      <c r="AB54" s="3"/>
      <c r="AC54" s="3"/>
      <c r="AD54" s="3"/>
      <c r="AE54" s="19">
        <f>AH54+AK54+AN54+AQ54+AT54+AW54+AZ54</f>
        <v>0</v>
      </c>
      <c r="AF54" s="10"/>
      <c r="AG54" s="10">
        <f>SQRT(AF54)</f>
        <v>0</v>
      </c>
      <c r="AH54" s="10">
        <f>IF(AG54&gt;0,AG54/AG$6*1000, 0)</f>
        <v>0</v>
      </c>
      <c r="AI54" s="10"/>
      <c r="AJ54" s="10">
        <f>SQRT(AI54)</f>
        <v>0</v>
      </c>
      <c r="AK54" s="10">
        <f>IF(AJ54&gt;0,AJ54/AJ$6*1000, 0)</f>
        <v>0</v>
      </c>
      <c r="AL54" s="10"/>
      <c r="AM54" s="10">
        <f>SQRT(AL54)</f>
        <v>0</v>
      </c>
      <c r="AN54" s="10">
        <f>IF(AM54&gt;0,AM54/AM$6*1000, 0)</f>
        <v>0</v>
      </c>
      <c r="AO54" s="10"/>
      <c r="AP54" s="10"/>
      <c r="AQ54" s="10"/>
      <c r="AR54" s="10"/>
      <c r="AS54" s="10"/>
      <c r="AT54" s="10"/>
      <c r="AU54" s="10"/>
      <c r="AV54" s="10"/>
      <c r="AW54" s="10"/>
      <c r="AX54" s="17"/>
      <c r="AY54" s="10">
        <f>SQRT(AX54)</f>
        <v>0</v>
      </c>
      <c r="AZ54" s="21">
        <f>IF(AY54&gt;0, AY54/AY$6*1000, 0)</f>
        <v>0</v>
      </c>
      <c r="BA54" s="16">
        <v>0.11</v>
      </c>
      <c r="BB54" s="15">
        <f>SQRT(BA54)</f>
        <v>0.33166247903553997</v>
      </c>
      <c r="BC54" s="10">
        <f>IF(BB54&gt;0, BB54/BB$6*10000, 0)</f>
        <v>88.83417786813277</v>
      </c>
      <c r="BD54" s="10"/>
      <c r="BE54" s="10"/>
      <c r="BF54" s="10"/>
      <c r="BG54" s="17">
        <v>2</v>
      </c>
      <c r="BH54" s="40">
        <f>IF(BG54&gt;0, BG54/BG$6*2000, 0)</f>
        <v>7.4906367041198498</v>
      </c>
      <c r="BI54" s="17"/>
      <c r="BJ54" s="17"/>
      <c r="BK54" s="3"/>
      <c r="BL54" s="1"/>
      <c r="BM54" s="1"/>
      <c r="BN54" s="1"/>
    </row>
    <row r="55" spans="1:66" s="4" customFormat="1" ht="20.100000000000001" customHeight="1" x14ac:dyDescent="0.25">
      <c r="A55" s="1"/>
      <c r="B55" s="1">
        <v>47</v>
      </c>
      <c r="C55" s="26">
        <v>49</v>
      </c>
      <c r="D55" s="1" t="str">
        <f>IF(C55&lt;B55,"▲"&amp;B55-C55,IF(C55&gt;B55,"▼"&amp;C55-B55,"—"))</f>
        <v>▼2</v>
      </c>
      <c r="E55" s="2" t="s">
        <v>68</v>
      </c>
      <c r="F55" s="27">
        <f>G55+O55+W55+AE55+BC55+BH55</f>
        <v>366.21445340517539</v>
      </c>
      <c r="G55" s="12">
        <f>IF(COUNTIF(H55:INDEX(H55:N55,$B$1),"&gt;0")=0,0,
(SUMIF(H55:INDEX(H55:N55,$B$1),"&gt;0",H55:INDEX(H55:N55,$B$1))*$B$1/COUNTIF(H55:INDEX(H55:N55,$B$1),"&gt;0"))*
IF($B$1-COUNTIF(H55:INDEX(H55:N55,$B$1),"&gt;0")&lt;=2,1,
IF($B$1-COUNTIF(H55:INDEX(H55:N55,$B$1),"&gt;0")=3,0.8,
IF($B$1-COUNTIF(H55:INDEX(H55:N55,$B$1),"&gt;0")=4,0.6,0))))</f>
        <v>198</v>
      </c>
      <c r="H55" s="3">
        <v>42</v>
      </c>
      <c r="I55" s="3">
        <v>51</v>
      </c>
      <c r="J55" s="3">
        <v>38</v>
      </c>
      <c r="K55" s="3">
        <v>39</v>
      </c>
      <c r="L55" s="3">
        <v>28</v>
      </c>
      <c r="M55" s="3"/>
      <c r="N55" s="3"/>
      <c r="O55" s="10">
        <f>0.2*IF(COUNTIF(P55:INDEX(P55:V55,$B$1),"&gt;0")=0,0,
(SUMIF(P55:INDEX(P55:V55,$B$1),"&gt;0",P55:INDEX(P55:V55,$B$1))*$B$1/COUNTIF(P55:INDEX(P55:V55,$B$1),"&gt;0"))*
IF($B$1-COUNTIF(P55:INDEX(P55:V55,$B$1),"&gt;0")&lt;=2,1,
IF($B$1-COUNTIF(P55:INDEX(P55:V55,$B$1),"&gt;0")=3,0.8,
IF($B$1-COUNTIF(P55:INDEX(P55:V55,$B$1),"&gt;0")=4,0.6,0))))</f>
        <v>41.2</v>
      </c>
      <c r="P55" s="3">
        <v>39</v>
      </c>
      <c r="Q55" s="3">
        <v>42</v>
      </c>
      <c r="R55" s="3">
        <v>44</v>
      </c>
      <c r="S55" s="3">
        <v>42</v>
      </c>
      <c r="T55" s="3">
        <v>39</v>
      </c>
      <c r="U55" s="3"/>
      <c r="V55" s="3"/>
      <c r="W55" s="3">
        <f>MIN(100,
IF($B$1&gt;=1,IFERROR(VALUE(SUBSTITUTE(SUBSTITUTE(TRIM(X55),"A",""),"B","")),0),0)+
IF($B$1&gt;=2,IFERROR(VALUE(SUBSTITUTE(SUBSTITUTE(TRIM(Y55),"A",""),"B","")),0),0)+
IF($B$1&gt;=3,IFERROR(VALUE(SUBSTITUTE(SUBSTITUTE(TRIM(Z55),"A",""),"B","")),0),0)+
IF($B$1&gt;=4,IFERROR(VALUE(SUBSTITUTE(SUBSTITUTE(TRIM(AA55),"A",""),"B","")),0),0)+
IF($B$1&gt;=5,IFERROR(VALUE(SUBSTITUTE(SUBSTITUTE(TRIM(AB55),"A",""),"B","")),0),0)+
IF($B$1&gt;=6,IFERROR(VALUE(SUBSTITUTE(SUBSTITUTE(TRIM(AC55),"A",""),"B","")),0),0)+
IF($B$1&gt;=7,IFERROR(VALUE(SUBSTITUTE(SUBSTITUTE(TRIM(AD55),"A",""),"B","")),0),0)
)</f>
        <v>0</v>
      </c>
      <c r="X55" s="3"/>
      <c r="Y55" s="3"/>
      <c r="Z55" s="3"/>
      <c r="AA55" s="3"/>
      <c r="AB55" s="3"/>
      <c r="AC55" s="3"/>
      <c r="AD55" s="3"/>
      <c r="AE55" s="19">
        <f>AH55+AK55+AN55+AQ55+AT55+AW55+AZ55</f>
        <v>15.460247101828518</v>
      </c>
      <c r="AF55" s="10"/>
      <c r="AG55" s="10">
        <f>SQRT(AF55)</f>
        <v>0</v>
      </c>
      <c r="AH55" s="10">
        <f>IF(AG55&gt;0,AG55/AG$6*1000, 0)</f>
        <v>0</v>
      </c>
      <c r="AI55" s="10">
        <v>0.3</v>
      </c>
      <c r="AJ55" s="10">
        <f>SQRT(AI55)</f>
        <v>0.54772255750516607</v>
      </c>
      <c r="AK55" s="10">
        <f>IF(AJ55&gt;0,AJ55/AJ$6*1000, 0)</f>
        <v>15.460247101828518</v>
      </c>
      <c r="AL55" s="10"/>
      <c r="AM55" s="10">
        <f>SQRT(AL55)</f>
        <v>0</v>
      </c>
      <c r="AN55" s="10">
        <f>IF(AM55&gt;0,AM55/AM$6*1000, 0)</f>
        <v>0</v>
      </c>
      <c r="AO55" s="10"/>
      <c r="AP55" s="10"/>
      <c r="AQ55" s="10"/>
      <c r="AR55" s="10"/>
      <c r="AS55" s="10"/>
      <c r="AT55" s="10"/>
      <c r="AU55" s="10"/>
      <c r="AV55" s="10"/>
      <c r="AW55" s="10"/>
      <c r="AX55" s="17"/>
      <c r="AY55" s="10">
        <f>SQRT(AX55)</f>
        <v>0</v>
      </c>
      <c r="AZ55" s="21">
        <f>IF(AY55&gt;0, AY55/AY$6*1000, 0)</f>
        <v>0</v>
      </c>
      <c r="BA55" s="16">
        <v>0.13</v>
      </c>
      <c r="BB55" s="15">
        <f>SQRT(BA55)</f>
        <v>0.36055512754639896</v>
      </c>
      <c r="BC55" s="10">
        <f>IF(BB55&gt;0, BB55/BB$6*10000, 0)</f>
        <v>96.572932895107201</v>
      </c>
      <c r="BD55" s="10"/>
      <c r="BE55" s="10"/>
      <c r="BF55" s="10"/>
      <c r="BG55" s="17">
        <v>4</v>
      </c>
      <c r="BH55" s="40">
        <f>IF(BG55&gt;0, BG55/BG$6*2000, 0)</f>
        <v>14.9812734082397</v>
      </c>
      <c r="BI55" s="17"/>
      <c r="BJ55" s="17"/>
      <c r="BK55" s="3"/>
      <c r="BL55" s="1"/>
      <c r="BM55" s="1"/>
      <c r="BN55" s="1"/>
    </row>
    <row r="56" spans="1:66" s="4" customFormat="1" ht="20.100000000000001" customHeight="1" x14ac:dyDescent="0.25">
      <c r="A56" s="1"/>
      <c r="B56" s="1">
        <v>53</v>
      </c>
      <c r="C56" s="26">
        <v>50</v>
      </c>
      <c r="D56" s="1" t="str">
        <f>IF(C56&lt;B56,"▲"&amp;B56-C56,IF(C56&gt;B56,"▼"&amp;C56-B56,"—"))</f>
        <v>▲3</v>
      </c>
      <c r="E56" s="2" t="s">
        <v>72</v>
      </c>
      <c r="F56" s="27">
        <f>G56+O56+W56+AE56+BC56+BH56</f>
        <v>360.76882317708805</v>
      </c>
      <c r="G56" s="12">
        <f>IF(COUNTIF(H56:INDEX(H56:N56,$B$1),"&gt;0")=0,0,
(SUMIF(H56:INDEX(H56:N56,$B$1),"&gt;0",H56:INDEX(H56:N56,$B$1))*$B$1/COUNTIF(H56:INDEX(H56:N56,$B$1),"&gt;0"))*
IF($B$1-COUNTIF(H56:INDEX(H56:N56,$B$1),"&gt;0")&lt;=2,1,
IF($B$1-COUNTIF(H56:INDEX(H56:N56,$B$1),"&gt;0")=3,0.8,
IF($B$1-COUNTIF(H56:INDEX(H56:N56,$B$1),"&gt;0")=4,0.6,0))))</f>
        <v>167</v>
      </c>
      <c r="H56" s="3">
        <v>31</v>
      </c>
      <c r="I56" s="3">
        <v>34</v>
      </c>
      <c r="J56" s="3">
        <v>33</v>
      </c>
      <c r="K56" s="3">
        <v>40</v>
      </c>
      <c r="L56" s="3">
        <v>29</v>
      </c>
      <c r="M56" s="3"/>
      <c r="N56" s="3"/>
      <c r="O56" s="10">
        <f>0.2*IF(COUNTIF(P56:INDEX(P56:V56,$B$1),"&gt;0")=0,0,
(SUMIF(P56:INDEX(P56:V56,$B$1),"&gt;0",P56:INDEX(P56:V56,$B$1))*$B$1/COUNTIF(P56:INDEX(P56:V56,$B$1),"&gt;0"))*
IF($B$1-COUNTIF(P56:INDEX(P56:V56,$B$1),"&gt;0")&lt;=2,1,
IF($B$1-COUNTIF(P56:INDEX(P56:V56,$B$1),"&gt;0")=3,0.8,
IF($B$1-COUNTIF(P56:INDEX(P56:V56,$B$1),"&gt;0")=4,0.6,0))))</f>
        <v>46.800000000000004</v>
      </c>
      <c r="P56" s="3">
        <v>47</v>
      </c>
      <c r="Q56" s="3">
        <v>39</v>
      </c>
      <c r="R56" s="3">
        <v>49</v>
      </c>
      <c r="S56" s="3">
        <v>53</v>
      </c>
      <c r="T56" s="3">
        <v>46</v>
      </c>
      <c r="U56" s="3"/>
      <c r="V56" s="3"/>
      <c r="W56" s="3">
        <f>MIN(100,
IF($B$1&gt;=1,IFERROR(VALUE(SUBSTITUTE(SUBSTITUTE(TRIM(X56),"A",""),"B","")),0),0)+
IF($B$1&gt;=2,IFERROR(VALUE(SUBSTITUTE(SUBSTITUTE(TRIM(Y56),"A",""),"B","")),0),0)+
IF($B$1&gt;=3,IFERROR(VALUE(SUBSTITUTE(SUBSTITUTE(TRIM(Z56),"A",""),"B","")),0),0)+
IF($B$1&gt;=4,IFERROR(VALUE(SUBSTITUTE(SUBSTITUTE(TRIM(AA56),"A",""),"B","")),0),0)+
IF($B$1&gt;=5,IFERROR(VALUE(SUBSTITUTE(SUBSTITUTE(TRIM(AB56),"A",""),"B","")),0),0)+
IF($B$1&gt;=6,IFERROR(VALUE(SUBSTITUTE(SUBSTITUTE(TRIM(AC56),"A",""),"B","")),0),0)+
IF($B$1&gt;=7,IFERROR(VALUE(SUBSTITUTE(SUBSTITUTE(TRIM(AD56),"A",""),"B","")),0),0)
)</f>
        <v>20</v>
      </c>
      <c r="X56" s="3"/>
      <c r="Y56" s="3" t="s">
        <v>31</v>
      </c>
      <c r="Z56" s="3" t="s">
        <v>31</v>
      </c>
      <c r="AA56" s="3"/>
      <c r="AB56" s="3"/>
      <c r="AC56" s="3"/>
      <c r="AD56" s="3"/>
      <c r="AE56" s="19">
        <f>AH56+AK56+AN56+AQ56+AT56+AW56+AZ56</f>
        <v>8.9259778259788263</v>
      </c>
      <c r="AF56" s="10"/>
      <c r="AG56" s="10">
        <f>SQRT(AF56)</f>
        <v>0</v>
      </c>
      <c r="AH56" s="10">
        <f>IF(AG56&gt;0,AG56/AG$6*1000, 0)</f>
        <v>0</v>
      </c>
      <c r="AI56" s="10">
        <v>0.1</v>
      </c>
      <c r="AJ56" s="10">
        <f>SQRT(AI56)</f>
        <v>0.31622776601683794</v>
      </c>
      <c r="AK56" s="10">
        <f>IF(AJ56&gt;0,AJ56/AJ$6*1000, 0)</f>
        <v>8.9259778259788263</v>
      </c>
      <c r="AL56" s="10"/>
      <c r="AM56" s="10">
        <f>SQRT(AL56)</f>
        <v>0</v>
      </c>
      <c r="AN56" s="10">
        <f>IF(AM56&gt;0,AM56/AM$6*1000, 0)</f>
        <v>0</v>
      </c>
      <c r="AO56" s="10"/>
      <c r="AP56" s="10"/>
      <c r="AQ56" s="10"/>
      <c r="AR56" s="10"/>
      <c r="AS56" s="10"/>
      <c r="AT56" s="10"/>
      <c r="AU56" s="10"/>
      <c r="AV56" s="10"/>
      <c r="AW56" s="10"/>
      <c r="AX56" s="17"/>
      <c r="AY56" s="10">
        <f>SQRT(AX56)</f>
        <v>0</v>
      </c>
      <c r="AZ56" s="21">
        <f>IF(AY56&gt;0, AY56/AY$6*1000, 0)</f>
        <v>0</v>
      </c>
      <c r="BA56" s="16">
        <v>0.06</v>
      </c>
      <c r="BB56" s="15">
        <f>SQRT(BA56)</f>
        <v>0.2449489742783178</v>
      </c>
      <c r="BC56" s="10">
        <f>IF(BB56&gt;0, BB56/BB$6*10000, 0)</f>
        <v>65.608388422270224</v>
      </c>
      <c r="BD56" s="10"/>
      <c r="BE56" s="10"/>
      <c r="BF56" s="10"/>
      <c r="BG56" s="17">
        <v>14</v>
      </c>
      <c r="BH56" s="40">
        <f>IF(BG56&gt;0, BG56/BG$6*2000, 0)</f>
        <v>52.434456928838955</v>
      </c>
      <c r="BI56" s="17"/>
      <c r="BJ56" s="17"/>
      <c r="BK56" s="3"/>
      <c r="BL56" s="1"/>
      <c r="BM56" s="1"/>
      <c r="BN56" s="1"/>
    </row>
    <row r="57" spans="1:66" s="4" customFormat="1" ht="20.100000000000001" customHeight="1" x14ac:dyDescent="0.25">
      <c r="A57" s="1"/>
      <c r="B57" s="1">
        <v>57</v>
      </c>
      <c r="C57" s="26">
        <v>51</v>
      </c>
      <c r="D57" s="1" t="str">
        <f>IF(C57&lt;B57,"▲"&amp;B57-C57,IF(C57&gt;B57,"▼"&amp;C57-B57,"—"))</f>
        <v>▲6</v>
      </c>
      <c r="E57" s="2" t="s">
        <v>73</v>
      </c>
      <c r="F57" s="27">
        <f>G57+O57+W57+AE57+BC57+BH57</f>
        <v>342.79399648957025</v>
      </c>
      <c r="G57" s="12">
        <f>IF(COUNTIF(H57:INDEX(H57:N57,$B$1),"&gt;0")=0,0,
(SUMIF(H57:INDEX(H57:N57,$B$1),"&gt;0",H57:INDEX(H57:N57,$B$1))*$B$1/COUNTIF(H57:INDEX(H57:N57,$B$1),"&gt;0"))*
IF($B$1-COUNTIF(H57:INDEX(H57:N57,$B$1),"&gt;0")&lt;=2,1,
IF($B$1-COUNTIF(H57:INDEX(H57:N57,$B$1),"&gt;0")=3,0.8,
IF($B$1-COUNTIF(H57:INDEX(H57:N57,$B$1),"&gt;0")=4,0.6,0))))</f>
        <v>211</v>
      </c>
      <c r="H57" s="3">
        <v>35</v>
      </c>
      <c r="I57" s="3">
        <v>39</v>
      </c>
      <c r="J57" s="3">
        <v>41</v>
      </c>
      <c r="K57" s="3">
        <v>56</v>
      </c>
      <c r="L57" s="3">
        <v>40</v>
      </c>
      <c r="M57" s="3"/>
      <c r="N57" s="3"/>
      <c r="O57" s="10">
        <f>0.2*IF(COUNTIF(P57:INDEX(P57:V57,$B$1),"&gt;0")=0,0,
(SUMIF(P57:INDEX(P57:V57,$B$1),"&gt;0",P57:INDEX(P57:V57,$B$1))*$B$1/COUNTIF(P57:INDEX(P57:V57,$B$1),"&gt;0"))*
IF($B$1-COUNTIF(P57:INDEX(P57:V57,$B$1),"&gt;0")&lt;=2,1,
IF($B$1-COUNTIF(P57:INDEX(P57:V57,$B$1),"&gt;0")=3,0.8,
IF($B$1-COUNTIF(P57:INDEX(P57:V57,$B$1),"&gt;0")=4,0.6,0))))</f>
        <v>44.800000000000004</v>
      </c>
      <c r="P57" s="3">
        <v>48</v>
      </c>
      <c r="Q57" s="3">
        <v>42</v>
      </c>
      <c r="R57" s="3">
        <v>45</v>
      </c>
      <c r="S57" s="3">
        <v>46</v>
      </c>
      <c r="T57" s="3">
        <v>43</v>
      </c>
      <c r="U57" s="3"/>
      <c r="V57" s="3"/>
      <c r="W57" s="3">
        <f>MIN(100,
IF($B$1&gt;=1,IFERROR(VALUE(SUBSTITUTE(SUBSTITUTE(TRIM(X57),"A",""),"B","")),0),0)+
IF($B$1&gt;=2,IFERROR(VALUE(SUBSTITUTE(SUBSTITUTE(TRIM(Y57),"A",""),"B","")),0),0)+
IF($B$1&gt;=3,IFERROR(VALUE(SUBSTITUTE(SUBSTITUTE(TRIM(Z57),"A",""),"B","")),0),0)+
IF($B$1&gt;=4,IFERROR(VALUE(SUBSTITUTE(SUBSTITUTE(TRIM(AA57),"A",""),"B","")),0),0)+
IF($B$1&gt;=5,IFERROR(VALUE(SUBSTITUTE(SUBSTITUTE(TRIM(AB57),"A",""),"B","")),0),0)+
IF($B$1&gt;=6,IFERROR(VALUE(SUBSTITUTE(SUBSTITUTE(TRIM(AC57),"A",""),"B","")),0),0)+
IF($B$1&gt;=7,IFERROR(VALUE(SUBSTITUTE(SUBSTITUTE(TRIM(AD57),"A",""),"B","")),0),0)
)</f>
        <v>0</v>
      </c>
      <c r="X57" s="3"/>
      <c r="Y57" s="3"/>
      <c r="Z57" s="3"/>
      <c r="AA57" s="3"/>
      <c r="AB57" s="3"/>
      <c r="AC57" s="3"/>
      <c r="AD57" s="3"/>
      <c r="AE57" s="19">
        <f>AH57+AK57+AN57+AQ57+AT57+AW57+AZ57</f>
        <v>0</v>
      </c>
      <c r="AF57" s="10"/>
      <c r="AG57" s="10">
        <f>SQRT(AF57)</f>
        <v>0</v>
      </c>
      <c r="AH57" s="10">
        <f>IF(AG57&gt;0,AG57/AG$6*1000, 0)</f>
        <v>0</v>
      </c>
      <c r="AI57" s="10"/>
      <c r="AJ57" s="10">
        <f>SQRT(AI57)</f>
        <v>0</v>
      </c>
      <c r="AK57" s="10">
        <f>IF(AJ57&gt;0,AJ57/AJ$6*1000, 0)</f>
        <v>0</v>
      </c>
      <c r="AL57" s="10"/>
      <c r="AM57" s="10">
        <f>SQRT(AL57)</f>
        <v>0</v>
      </c>
      <c r="AN57" s="10">
        <f>IF(AM57&gt;0,AM57/AM$6*1000, 0)</f>
        <v>0</v>
      </c>
      <c r="AO57" s="10"/>
      <c r="AP57" s="10"/>
      <c r="AQ57" s="10"/>
      <c r="AR57" s="10"/>
      <c r="AS57" s="10"/>
      <c r="AT57" s="10"/>
      <c r="AU57" s="10"/>
      <c r="AV57" s="10"/>
      <c r="AW57" s="10"/>
      <c r="AX57" s="17"/>
      <c r="AY57" s="10">
        <f>SQRT(AX57)</f>
        <v>0</v>
      </c>
      <c r="AZ57" s="21">
        <f>IF(AY57&gt;0, AY57/AY$6*1000, 0)</f>
        <v>0</v>
      </c>
      <c r="BA57" s="16">
        <v>0.08</v>
      </c>
      <c r="BB57" s="15">
        <f>SQRT(BA57)</f>
        <v>0.28284271247461901</v>
      </c>
      <c r="BC57" s="10">
        <f>IF(BB57&gt;0, BB57/BB$6*10000, 0)</f>
        <v>75.758041433390488</v>
      </c>
      <c r="BD57" s="10"/>
      <c r="BE57" s="10"/>
      <c r="BF57" s="10"/>
      <c r="BG57" s="17">
        <v>3</v>
      </c>
      <c r="BH57" s="40">
        <f>IF(BG57&gt;0, BG57/BG$6*2000, 0)</f>
        <v>11.235955056179774</v>
      </c>
      <c r="BI57" s="17"/>
      <c r="BJ57" s="17"/>
      <c r="BK57" s="3"/>
      <c r="BL57" s="1"/>
      <c r="BM57" s="1"/>
      <c r="BN57" s="1"/>
    </row>
    <row r="58" spans="1:66" s="4" customFormat="1" ht="20.100000000000001" customHeight="1" x14ac:dyDescent="0.25">
      <c r="A58" s="1"/>
      <c r="B58" s="1">
        <v>58</v>
      </c>
      <c r="C58" s="26">
        <v>52</v>
      </c>
      <c r="D58" s="1" t="str">
        <f>IF(C58&lt;B58,"▲"&amp;B58-C58,IF(C58&gt;B58,"▼"&amp;C58-B58,"—"))</f>
        <v>▲6</v>
      </c>
      <c r="E58" s="2" t="s">
        <v>77</v>
      </c>
      <c r="F58" s="27">
        <f>G58+O58+W58+AE58+BC58+BH58</f>
        <v>338.71724392193715</v>
      </c>
      <c r="G58" s="12">
        <f>IF(COUNTIF(H58:INDEX(H58:N58,$B$1),"&gt;0")=0,0,
(SUMIF(H58:INDEX(H58:N58,$B$1),"&gt;0",H58:INDEX(H58:N58,$B$1))*$B$1/COUNTIF(H58:INDEX(H58:N58,$B$1),"&gt;0"))*
IF($B$1-COUNTIF(H58:INDEX(H58:N58,$B$1),"&gt;0")&lt;=2,1,
IF($B$1-COUNTIF(H58:INDEX(H58:N58,$B$1),"&gt;0")=3,0.8,
IF($B$1-COUNTIF(H58:INDEX(H58:N58,$B$1),"&gt;0")=4,0.6,0))))</f>
        <v>177</v>
      </c>
      <c r="H58" s="3">
        <v>27</v>
      </c>
      <c r="I58" s="3">
        <v>36</v>
      </c>
      <c r="J58" s="3">
        <v>44</v>
      </c>
      <c r="K58" s="3">
        <v>37</v>
      </c>
      <c r="L58" s="3">
        <v>33</v>
      </c>
      <c r="M58" s="3"/>
      <c r="N58" s="3"/>
      <c r="O58" s="10">
        <f>0.2*IF(COUNTIF(P58:INDEX(P58:V58,$B$1),"&gt;0")=0,0,
(SUMIF(P58:INDEX(P58:V58,$B$1),"&gt;0",P58:INDEX(P58:V58,$B$1))*$B$1/COUNTIF(P58:INDEX(P58:V58,$B$1),"&gt;0"))*
IF($B$1-COUNTIF(P58:INDEX(P58:V58,$B$1),"&gt;0")&lt;=2,1,
IF($B$1-COUNTIF(P58:INDEX(P58:V58,$B$1),"&gt;0")=3,0.8,
IF($B$1-COUNTIF(P58:INDEX(P58:V58,$B$1),"&gt;0")=4,0.6,0))))</f>
        <v>43</v>
      </c>
      <c r="P58" s="3">
        <v>42</v>
      </c>
      <c r="Q58" s="3">
        <v>38</v>
      </c>
      <c r="R58" s="3">
        <v>50</v>
      </c>
      <c r="S58" s="3">
        <v>47</v>
      </c>
      <c r="T58" s="3">
        <v>38</v>
      </c>
      <c r="U58" s="3"/>
      <c r="V58" s="3"/>
      <c r="W58" s="3">
        <f>MIN(100,
IF($B$1&gt;=1,IFERROR(VALUE(SUBSTITUTE(SUBSTITUTE(TRIM(X58),"A",""),"B","")),0),0)+
IF($B$1&gt;=2,IFERROR(VALUE(SUBSTITUTE(SUBSTITUTE(TRIM(Y58),"A",""),"B","")),0),0)+
IF($B$1&gt;=3,IFERROR(VALUE(SUBSTITUTE(SUBSTITUTE(TRIM(Z58),"A",""),"B","")),0),0)+
IF($B$1&gt;=4,IFERROR(VALUE(SUBSTITUTE(SUBSTITUTE(TRIM(AA58),"A",""),"B","")),0),0)+
IF($B$1&gt;=5,IFERROR(VALUE(SUBSTITUTE(SUBSTITUTE(TRIM(AB58),"A",""),"B","")),0),0)+
IF($B$1&gt;=6,IFERROR(VALUE(SUBSTITUTE(SUBSTITUTE(TRIM(AC58),"A",""),"B","")),0),0)+
IF($B$1&gt;=7,IFERROR(VALUE(SUBSTITUTE(SUBSTITUTE(TRIM(AD58),"A",""),"B","")),0),0)
)</f>
        <v>0</v>
      </c>
      <c r="X58" s="3"/>
      <c r="Y58" s="3"/>
      <c r="Z58" s="3"/>
      <c r="AA58" s="3"/>
      <c r="AB58" s="3"/>
      <c r="AC58" s="3"/>
      <c r="AD58" s="3"/>
      <c r="AE58" s="19">
        <f>AH58+AK58+AN58+AQ58+AT58+AW58+AZ58</f>
        <v>0</v>
      </c>
      <c r="AF58" s="10"/>
      <c r="AG58" s="10">
        <f>SQRT(AF58)</f>
        <v>0</v>
      </c>
      <c r="AH58" s="10">
        <f>IF(AG58&gt;0,AG58/AG$6*1000, 0)</f>
        <v>0</v>
      </c>
      <c r="AI58" s="10"/>
      <c r="AJ58" s="10">
        <f>SQRT(AI58)</f>
        <v>0</v>
      </c>
      <c r="AK58" s="10">
        <f>IF(AJ58&gt;0,AJ58/AJ$6*1000, 0)</f>
        <v>0</v>
      </c>
      <c r="AL58" s="10"/>
      <c r="AM58" s="10">
        <f>SQRT(AL58)</f>
        <v>0</v>
      </c>
      <c r="AN58" s="10">
        <f>IF(AM58&gt;0,AM58/AM$6*1000, 0)</f>
        <v>0</v>
      </c>
      <c r="AO58" s="10"/>
      <c r="AP58" s="10"/>
      <c r="AQ58" s="10"/>
      <c r="AR58" s="10"/>
      <c r="AS58" s="10"/>
      <c r="AT58" s="10"/>
      <c r="AU58" s="10"/>
      <c r="AV58" s="10"/>
      <c r="AW58" s="10"/>
      <c r="AX58" s="17"/>
      <c r="AY58" s="10">
        <f>SQRT(AX58)</f>
        <v>0</v>
      </c>
      <c r="AZ58" s="21">
        <f>IF(AY58&gt;0, AY58/AY$6*1000, 0)</f>
        <v>0</v>
      </c>
      <c r="BA58" s="16">
        <v>0.15</v>
      </c>
      <c r="BB58" s="15">
        <f>SQRT(BA58)</f>
        <v>0.3872983346207417</v>
      </c>
      <c r="BC58" s="10">
        <f>IF(BB58&gt;0, BB58/BB$6*10000, 0)</f>
        <v>103.73597051369745</v>
      </c>
      <c r="BD58" s="10"/>
      <c r="BE58" s="10"/>
      <c r="BF58" s="10"/>
      <c r="BG58" s="17">
        <v>4</v>
      </c>
      <c r="BH58" s="40">
        <f>IF(BG58&gt;0, BG58/BG$6*2000, 0)</f>
        <v>14.9812734082397</v>
      </c>
      <c r="BI58" s="17"/>
      <c r="BJ58" s="17"/>
      <c r="BK58" s="3"/>
      <c r="BL58" s="1"/>
      <c r="BM58" s="1"/>
      <c r="BN58" s="1"/>
    </row>
    <row r="59" spans="1:66" s="4" customFormat="1" ht="20.100000000000001" customHeight="1" x14ac:dyDescent="0.25">
      <c r="A59" s="1"/>
      <c r="B59" s="1">
        <v>62</v>
      </c>
      <c r="C59" s="26">
        <v>53</v>
      </c>
      <c r="D59" s="1" t="str">
        <f>IF(C59&lt;B59,"▲"&amp;B59-C59,IF(C59&gt;B59,"▼"&amp;C59-B59,"—"))</f>
        <v>▲9</v>
      </c>
      <c r="E59" s="2" t="s">
        <v>60</v>
      </c>
      <c r="F59" s="27">
        <f>G59+O59+W59+AE59+BC59+BH59</f>
        <v>332.28451241348091</v>
      </c>
      <c r="G59" s="12">
        <f>IF(COUNTIF(H59:INDEX(H59:N59,$B$1),"&gt;0")=0,0,
(SUMIF(H59:INDEX(H59:N59,$B$1),"&gt;0",H59:INDEX(H59:N59,$B$1))*$B$1/COUNTIF(H59:INDEX(H59:N59,$B$1),"&gt;0"))*
IF($B$1-COUNTIF(H59:INDEX(H59:N59,$B$1),"&gt;0")&lt;=2,1,
IF($B$1-COUNTIF(H59:INDEX(H59:N59,$B$1),"&gt;0")=3,0.8,
IF($B$1-COUNTIF(H59:INDEX(H59:N59,$B$1),"&gt;0")=4,0.6,0))))</f>
        <v>264</v>
      </c>
      <c r="H59" s="3">
        <v>60</v>
      </c>
      <c r="I59" s="3">
        <v>43</v>
      </c>
      <c r="J59" s="3">
        <v>55</v>
      </c>
      <c r="K59" s="3">
        <v>56</v>
      </c>
      <c r="L59" s="3">
        <v>50</v>
      </c>
      <c r="M59" s="3"/>
      <c r="N59" s="3"/>
      <c r="O59" s="10">
        <f>0.2*IF(COUNTIF(P59:INDEX(P59:V59,$B$1),"&gt;0")=0,0,
(SUMIF(P59:INDEX(P59:V59,$B$1),"&gt;0",P59:INDEX(P59:V59,$B$1))*$B$1/COUNTIF(P59:INDEX(P59:V59,$B$1),"&gt;0"))*
IF($B$1-COUNTIF(P59:INDEX(P59:V59,$B$1),"&gt;0")&lt;=2,1,
IF($B$1-COUNTIF(P59:INDEX(P59:V59,$B$1),"&gt;0")=3,0.8,
IF($B$1-COUNTIF(P59:INDEX(P59:V59,$B$1),"&gt;0")=4,0.6,0))))</f>
        <v>41.5</v>
      </c>
      <c r="P59" s="3">
        <v>-1</v>
      </c>
      <c r="Q59" s="3">
        <v>36</v>
      </c>
      <c r="R59" s="3">
        <v>42</v>
      </c>
      <c r="S59" s="3">
        <v>50</v>
      </c>
      <c r="T59" s="3">
        <v>38</v>
      </c>
      <c r="U59" s="3"/>
      <c r="V59" s="3"/>
      <c r="W59" s="3">
        <f>MIN(100,
IF($B$1&gt;=1,IFERROR(VALUE(SUBSTITUTE(SUBSTITUTE(TRIM(X59),"A",""),"B","")),0),0)+
IF($B$1&gt;=2,IFERROR(VALUE(SUBSTITUTE(SUBSTITUTE(TRIM(Y59),"A",""),"B","")),0),0)+
IF($B$1&gt;=3,IFERROR(VALUE(SUBSTITUTE(SUBSTITUTE(TRIM(Z59),"A",""),"B","")),0),0)+
IF($B$1&gt;=4,IFERROR(VALUE(SUBSTITUTE(SUBSTITUTE(TRIM(AA59),"A",""),"B","")),0),0)+
IF($B$1&gt;=5,IFERROR(VALUE(SUBSTITUTE(SUBSTITUTE(TRIM(AB59),"A",""),"B","")),0),0)+
IF($B$1&gt;=6,IFERROR(VALUE(SUBSTITUTE(SUBSTITUTE(TRIM(AC59),"A",""),"B","")),0),0)+
IF($B$1&gt;=7,IFERROR(VALUE(SUBSTITUTE(SUBSTITUTE(TRIM(AD59),"A",""),"B","")),0),0)
)</f>
        <v>0</v>
      </c>
      <c r="X59" s="3"/>
      <c r="Y59" s="3"/>
      <c r="Z59" s="3"/>
      <c r="AA59" s="3"/>
      <c r="AB59" s="3"/>
      <c r="AC59" s="3"/>
      <c r="AD59" s="3"/>
      <c r="AE59" s="19">
        <f>AH59+AK59+AN59+AQ59+AT59+AW59+AZ59</f>
        <v>0</v>
      </c>
      <c r="AF59" s="10"/>
      <c r="AG59" s="10">
        <f>SQRT(AF59)</f>
        <v>0</v>
      </c>
      <c r="AH59" s="10">
        <f>IF(AG59&gt;0,AG59/AG$6*1000, 0)</f>
        <v>0</v>
      </c>
      <c r="AI59" s="10"/>
      <c r="AJ59" s="10">
        <f>SQRT(AI59)</f>
        <v>0</v>
      </c>
      <c r="AK59" s="10">
        <f>IF(AJ59&gt;0,AJ59/AJ$6*1000, 0)</f>
        <v>0</v>
      </c>
      <c r="AL59" s="10"/>
      <c r="AM59" s="10">
        <f>SQRT(AL59)</f>
        <v>0</v>
      </c>
      <c r="AN59" s="10">
        <f>IF(AM59&gt;0,AM59/AM$6*1000, 0)</f>
        <v>0</v>
      </c>
      <c r="AO59" s="10"/>
      <c r="AP59" s="10"/>
      <c r="AQ59" s="10"/>
      <c r="AR59" s="10"/>
      <c r="AS59" s="10"/>
      <c r="AT59" s="10"/>
      <c r="AU59" s="10"/>
      <c r="AV59" s="10"/>
      <c r="AW59" s="10"/>
      <c r="AX59" s="17"/>
      <c r="AY59" s="10">
        <f>SQRT(AX59)</f>
        <v>0</v>
      </c>
      <c r="AZ59" s="21">
        <f>IF(AY59&gt;0, AY59/AY$6*1000, 0)</f>
        <v>0</v>
      </c>
      <c r="BA59" s="16">
        <v>0.01</v>
      </c>
      <c r="BB59" s="15">
        <f>SQRT(BA59)</f>
        <v>0.1</v>
      </c>
      <c r="BC59" s="10">
        <f>IF(BB59&gt;0, BB59/BB$6*10000, 0)</f>
        <v>26.784512413480925</v>
      </c>
      <c r="BD59" s="10"/>
      <c r="BE59" s="10"/>
      <c r="BF59" s="10"/>
      <c r="BG59" s="17"/>
      <c r="BH59" s="40">
        <f>IF(BG59&gt;0, BG59/BG$6*2000, 0)</f>
        <v>0</v>
      </c>
      <c r="BI59" s="17"/>
      <c r="BJ59" s="17"/>
      <c r="BK59" s="3"/>
      <c r="BL59" s="1"/>
      <c r="BM59" s="1"/>
      <c r="BN59" s="1"/>
    </row>
    <row r="60" spans="1:66" s="4" customFormat="1" ht="20.100000000000001" customHeight="1" x14ac:dyDescent="0.25">
      <c r="A60" s="1"/>
      <c r="B60" s="1">
        <v>45</v>
      </c>
      <c r="C60" s="26">
        <v>54</v>
      </c>
      <c r="D60" s="1" t="str">
        <f>IF(C60&lt;B60,"▲"&amp;B60-C60,IF(C60&gt;B60,"▼"&amp;C60-B60,"—"))</f>
        <v>▼9</v>
      </c>
      <c r="E60" s="2" t="s">
        <v>67</v>
      </c>
      <c r="F60" s="27">
        <f>G60+O60+W60+AE60+BC60+BH60</f>
        <v>328.24032100500062</v>
      </c>
      <c r="G60" s="12">
        <f>IF(COUNTIF(H60:INDEX(H60:N60,$B$1),"&gt;0")=0,0,
(SUMIF(H60:INDEX(H60:N60,$B$1),"&gt;0",H60:INDEX(H60:N60,$B$1))*$B$1/COUNTIF(H60:INDEX(H60:N60,$B$1),"&gt;0"))*
IF($B$1-COUNTIF(H60:INDEX(H60:N60,$B$1),"&gt;0")&lt;=2,1,
IF($B$1-COUNTIF(H60:INDEX(H60:N60,$B$1),"&gt;0")=3,0.8,
IF($B$1-COUNTIF(H60:INDEX(H60:N60,$B$1),"&gt;0")=4,0.6,0))))</f>
        <v>219</v>
      </c>
      <c r="H60" s="3">
        <v>39</v>
      </c>
      <c r="I60" s="3">
        <v>53</v>
      </c>
      <c r="J60" s="3">
        <v>39</v>
      </c>
      <c r="K60" s="3">
        <v>48</v>
      </c>
      <c r="L60" s="3">
        <v>40</v>
      </c>
      <c r="M60" s="3"/>
      <c r="N60" s="3"/>
      <c r="O60" s="10">
        <f>0.2*IF(COUNTIF(P60:INDEX(P60:V60,$B$1),"&gt;0")=0,0,
(SUMIF(P60:INDEX(P60:V60,$B$1),"&gt;0",P60:INDEX(P60:V60,$B$1))*$B$1/COUNTIF(P60:INDEX(P60:V60,$B$1),"&gt;0"))*
IF($B$1-COUNTIF(P60:INDEX(P60:V60,$B$1),"&gt;0")&lt;=2,1,
IF($B$1-COUNTIF(P60:INDEX(P60:V60,$B$1),"&gt;0")=3,0.8,
IF($B$1-COUNTIF(P60:INDEX(P60:V60,$B$1),"&gt;0")=4,0.6,0))))</f>
        <v>43</v>
      </c>
      <c r="P60" s="3">
        <v>44</v>
      </c>
      <c r="Q60" s="3">
        <v>35</v>
      </c>
      <c r="R60" s="3">
        <v>47</v>
      </c>
      <c r="S60" s="3">
        <v>47</v>
      </c>
      <c r="T60" s="3">
        <v>42</v>
      </c>
      <c r="U60" s="3"/>
      <c r="V60" s="3"/>
      <c r="W60" s="3">
        <f>MIN(100,
IF($B$1&gt;=1,IFERROR(VALUE(SUBSTITUTE(SUBSTITUTE(TRIM(X60),"A",""),"B","")),0),0)+
IF($B$1&gt;=2,IFERROR(VALUE(SUBSTITUTE(SUBSTITUTE(TRIM(Y60),"A",""),"B","")),0),0)+
IF($B$1&gt;=3,IFERROR(VALUE(SUBSTITUTE(SUBSTITUTE(TRIM(Z60),"A",""),"B","")),0),0)+
IF($B$1&gt;=4,IFERROR(VALUE(SUBSTITUTE(SUBSTITUTE(TRIM(AA60),"A",""),"B","")),0),0)+
IF($B$1&gt;=5,IFERROR(VALUE(SUBSTITUTE(SUBSTITUTE(TRIM(AB60),"A",""),"B","")),0),0)+
IF($B$1&gt;=6,IFERROR(VALUE(SUBSTITUTE(SUBSTITUTE(TRIM(AC60),"A",""),"B","")),0),0)+
IF($B$1&gt;=7,IFERROR(VALUE(SUBSTITUTE(SUBSTITUTE(TRIM(AD60),"A",""),"B","")),0),0)
)</f>
        <v>0</v>
      </c>
      <c r="X60" s="3"/>
      <c r="Y60" s="3"/>
      <c r="Z60" s="3"/>
      <c r="AA60" s="3"/>
      <c r="AB60" s="3"/>
      <c r="AC60" s="3"/>
      <c r="AD60" s="3"/>
      <c r="AE60" s="19">
        <f>AH60+AK60+AN60+AQ60+AT60+AW60+AZ60</f>
        <v>8.9259778259788263</v>
      </c>
      <c r="AF60" s="10"/>
      <c r="AG60" s="10">
        <f>SQRT(AF60)</f>
        <v>0</v>
      </c>
      <c r="AH60" s="10">
        <f>IF(AG60&gt;0,AG60/AG$6*1000, 0)</f>
        <v>0</v>
      </c>
      <c r="AI60" s="10">
        <v>0.1</v>
      </c>
      <c r="AJ60" s="10">
        <f>SQRT(AI60)</f>
        <v>0.31622776601683794</v>
      </c>
      <c r="AK60" s="10">
        <f>IF(AJ60&gt;0,AJ60/AJ$6*1000, 0)</f>
        <v>8.9259778259788263</v>
      </c>
      <c r="AL60" s="10"/>
      <c r="AM60" s="10">
        <f>SQRT(AL60)</f>
        <v>0</v>
      </c>
      <c r="AN60" s="10">
        <f>IF(AM60&gt;0,AM60/AM$6*1000, 0)</f>
        <v>0</v>
      </c>
      <c r="AO60" s="10"/>
      <c r="AP60" s="10"/>
      <c r="AQ60" s="10"/>
      <c r="AR60" s="10"/>
      <c r="AS60" s="10"/>
      <c r="AT60" s="10"/>
      <c r="AU60" s="10"/>
      <c r="AV60" s="10"/>
      <c r="AW60" s="10"/>
      <c r="AX60" s="17"/>
      <c r="AY60" s="10">
        <f>SQRT(AX60)</f>
        <v>0</v>
      </c>
      <c r="AZ60" s="21">
        <f>IF(AY60&gt;0, AY60/AY$6*1000, 0)</f>
        <v>0</v>
      </c>
      <c r="BA60" s="16">
        <v>0.04</v>
      </c>
      <c r="BB60" s="15">
        <f>SQRT(BA60)</f>
        <v>0.2</v>
      </c>
      <c r="BC60" s="10">
        <f>IF(BB60&gt;0, BB60/BB$6*10000, 0)</f>
        <v>53.569024826961851</v>
      </c>
      <c r="BD60" s="10"/>
      <c r="BE60" s="10"/>
      <c r="BF60" s="10"/>
      <c r="BG60" s="17">
        <v>1</v>
      </c>
      <c r="BH60" s="40">
        <f>IF(BG60&gt;0, BG60/BG$6*2000, 0)</f>
        <v>3.7453183520599249</v>
      </c>
      <c r="BI60" s="17"/>
      <c r="BJ60" s="17"/>
      <c r="BK60" s="3"/>
      <c r="BL60" s="1"/>
      <c r="BM60" s="1"/>
      <c r="BN60" s="1"/>
    </row>
    <row r="61" spans="1:66" s="4" customFormat="1" ht="20.100000000000001" customHeight="1" x14ac:dyDescent="0.25">
      <c r="A61" s="1"/>
      <c r="B61" s="1">
        <v>52</v>
      </c>
      <c r="C61" s="26">
        <v>55</v>
      </c>
      <c r="D61" s="1" t="str">
        <f>IF(C61&lt;B61,"▲"&amp;B61-C61,IF(C61&gt;B61,"▼"&amp;C61-B61,"—"))</f>
        <v>▼3</v>
      </c>
      <c r="E61" s="2" t="s">
        <v>76</v>
      </c>
      <c r="F61" s="27">
        <f>G61+O61+W61+AE61+BC61+BH61</f>
        <v>324.30353743357051</v>
      </c>
      <c r="G61" s="12">
        <f>IF(COUNTIF(H61:INDEX(H61:N61,$B$1),"&gt;0")=0,0,
(SUMIF(H61:INDEX(H61:N61,$B$1),"&gt;0",H61:INDEX(H61:N61,$B$1))*$B$1/COUNTIF(H61:INDEX(H61:N61,$B$1),"&gt;0"))*
IF($B$1-COUNTIF(H61:INDEX(H61:N61,$B$1),"&gt;0")&lt;=2,1,
IF($B$1-COUNTIF(H61:INDEX(H61:N61,$B$1),"&gt;0")=3,0.8,
IF($B$1-COUNTIF(H61:INDEX(H61:N61,$B$1),"&gt;0")=4,0.6,0))))</f>
        <v>128</v>
      </c>
      <c r="H61" s="3">
        <v>25</v>
      </c>
      <c r="I61" s="3">
        <v>22</v>
      </c>
      <c r="J61" s="3">
        <v>26</v>
      </c>
      <c r="K61" s="3">
        <v>25</v>
      </c>
      <c r="L61" s="3">
        <v>30</v>
      </c>
      <c r="M61" s="3"/>
      <c r="N61" s="3"/>
      <c r="O61" s="10">
        <f>0.2*IF(COUNTIF(P61:INDEX(P61:V61,$B$1),"&gt;0")=0,0,
(SUMIF(P61:INDEX(P61:V61,$B$1),"&gt;0",P61:INDEX(P61:V61,$B$1))*$B$1/COUNTIF(P61:INDEX(P61:V61,$B$1),"&gt;0"))*
IF($B$1-COUNTIF(P61:INDEX(P61:V61,$B$1),"&gt;0")&lt;=2,1,
IF($B$1-COUNTIF(P61:INDEX(P61:V61,$B$1),"&gt;0")=3,0.8,
IF($B$1-COUNTIF(P61:INDEX(P61:V61,$B$1),"&gt;0")=4,0.6,0))))</f>
        <v>45.6</v>
      </c>
      <c r="P61" s="3">
        <v>49</v>
      </c>
      <c r="Q61" s="3">
        <v>38</v>
      </c>
      <c r="R61" s="3">
        <v>47</v>
      </c>
      <c r="S61" s="3">
        <v>46</v>
      </c>
      <c r="T61" s="3">
        <v>48</v>
      </c>
      <c r="U61" s="3"/>
      <c r="V61" s="3"/>
      <c r="W61" s="3">
        <f>MIN(100,
IF($B$1&gt;=1,IFERROR(VALUE(SUBSTITUTE(SUBSTITUTE(TRIM(X61),"A",""),"B","")),0),0)+
IF($B$1&gt;=2,IFERROR(VALUE(SUBSTITUTE(SUBSTITUTE(TRIM(Y61),"A",""),"B","")),0),0)+
IF($B$1&gt;=3,IFERROR(VALUE(SUBSTITUTE(SUBSTITUTE(TRIM(Z61),"A",""),"B","")),0),0)+
IF($B$1&gt;=4,IFERROR(VALUE(SUBSTITUTE(SUBSTITUTE(TRIM(AA61),"A",""),"B","")),0),0)+
IF($B$1&gt;=5,IFERROR(VALUE(SUBSTITUTE(SUBSTITUTE(TRIM(AB61),"A",""),"B","")),0),0)+
IF($B$1&gt;=6,IFERROR(VALUE(SUBSTITUTE(SUBSTITUTE(TRIM(AC61),"A",""),"B","")),0),0)+
IF($B$1&gt;=7,IFERROR(VALUE(SUBSTITUTE(SUBSTITUTE(TRIM(AD61),"A",""),"B","")),0),0)
)</f>
        <v>50</v>
      </c>
      <c r="X61" s="3" t="s">
        <v>34</v>
      </c>
      <c r="Y61" s="3" t="s">
        <v>17</v>
      </c>
      <c r="Z61" s="3" t="s">
        <v>34</v>
      </c>
      <c r="AA61" s="3" t="s">
        <v>135</v>
      </c>
      <c r="AB61" s="3"/>
      <c r="AC61" s="3"/>
      <c r="AD61" s="3"/>
      <c r="AE61" s="19">
        <f>AH61+AK61+AN61+AQ61+AT61+AW61+AZ61</f>
        <v>12.623238898940771</v>
      </c>
      <c r="AF61" s="10"/>
      <c r="AG61" s="10">
        <f>SQRT(AF61)</f>
        <v>0</v>
      </c>
      <c r="AH61" s="10">
        <f>IF(AG61&gt;0,AG61/AG$6*1000, 0)</f>
        <v>0</v>
      </c>
      <c r="AI61" s="10">
        <v>0.2</v>
      </c>
      <c r="AJ61" s="10">
        <f>SQRT(AI61)</f>
        <v>0.44721359549995793</v>
      </c>
      <c r="AK61" s="10">
        <f>IF(AJ61&gt;0,AJ61/AJ$6*1000, 0)</f>
        <v>12.623238898940771</v>
      </c>
      <c r="AL61" s="10"/>
      <c r="AM61" s="10">
        <f>SQRT(AL61)</f>
        <v>0</v>
      </c>
      <c r="AN61" s="10">
        <f>IF(AM61&gt;0,AM61/AM$6*1000, 0)</f>
        <v>0</v>
      </c>
      <c r="AO61" s="10"/>
      <c r="AP61" s="10"/>
      <c r="AQ61" s="10"/>
      <c r="AR61" s="10"/>
      <c r="AS61" s="10"/>
      <c r="AT61" s="10"/>
      <c r="AU61" s="10"/>
      <c r="AV61" s="10"/>
      <c r="AW61" s="10"/>
      <c r="AX61" s="17"/>
      <c r="AY61" s="10">
        <f>SQRT(AX61)</f>
        <v>0</v>
      </c>
      <c r="AZ61" s="21">
        <f>IF(AY61&gt;0, AY61/AY$6*1000, 0)</f>
        <v>0</v>
      </c>
      <c r="BA61" s="16">
        <v>0.06</v>
      </c>
      <c r="BB61" s="15">
        <f>SQRT(BA61)</f>
        <v>0.2449489742783178</v>
      </c>
      <c r="BC61" s="10">
        <f>IF(BB61&gt;0, BB61/BB$6*10000, 0)</f>
        <v>65.608388422270224</v>
      </c>
      <c r="BD61" s="10"/>
      <c r="BE61" s="10"/>
      <c r="BF61" s="10"/>
      <c r="BG61" s="17">
        <v>6</v>
      </c>
      <c r="BH61" s="40">
        <f>IF(BG61&gt;0, BG61/BG$6*2000, 0)</f>
        <v>22.471910112359549</v>
      </c>
      <c r="BI61" s="17"/>
      <c r="BJ61" s="17"/>
      <c r="BK61" s="3"/>
      <c r="BL61" s="1"/>
      <c r="BM61" s="1"/>
      <c r="BN61" s="1"/>
    </row>
    <row r="62" spans="1:66" s="4" customFormat="1" ht="20.100000000000001" customHeight="1" x14ac:dyDescent="0.25">
      <c r="A62" s="1"/>
      <c r="B62" s="1">
        <v>61</v>
      </c>
      <c r="C62" s="26">
        <v>56</v>
      </c>
      <c r="D62" s="1" t="str">
        <f>IF(C62&lt;B62,"▲"&amp;B62-C62,IF(C62&gt;B62,"▼"&amp;C62-B62,"—"))</f>
        <v>▲5</v>
      </c>
      <c r="E62" s="2" t="s">
        <v>90</v>
      </c>
      <c r="F62" s="27">
        <f>G62+O62+W62+AE62+BC62+BH62</f>
        <v>314.76961344700379</v>
      </c>
      <c r="G62" s="12">
        <f>IF(COUNTIF(H62:INDEX(H62:N62,$B$1),"&gt;0")=0,0,
(SUMIF(H62:INDEX(H62:N62,$B$1),"&gt;0",H62:INDEX(H62:N62,$B$1))*$B$1/COUNTIF(H62:INDEX(H62:N62,$B$1),"&gt;0"))*
IF($B$1-COUNTIF(H62:INDEX(H62:N62,$B$1),"&gt;0")&lt;=2,1,
IF($B$1-COUNTIF(H62:INDEX(H62:N62,$B$1),"&gt;0")=3,0.8,
IF($B$1-COUNTIF(H62:INDEX(H62:N62,$B$1),"&gt;0")=4,0.6,0))))</f>
        <v>109</v>
      </c>
      <c r="H62" s="3">
        <v>12</v>
      </c>
      <c r="I62" s="3">
        <v>36</v>
      </c>
      <c r="J62" s="3">
        <v>16</v>
      </c>
      <c r="K62" s="3">
        <v>18</v>
      </c>
      <c r="L62" s="3">
        <v>27</v>
      </c>
      <c r="M62" s="3"/>
      <c r="N62" s="3"/>
      <c r="O62" s="10">
        <f>0.2*IF(COUNTIF(P62:INDEX(P62:V62,$B$1),"&gt;0")=0,0,
(SUMIF(P62:INDEX(P62:V62,$B$1),"&gt;0",P62:INDEX(P62:V62,$B$1))*$B$1/COUNTIF(P62:INDEX(P62:V62,$B$1),"&gt;0"))*
IF($B$1-COUNTIF(P62:INDEX(P62:V62,$B$1),"&gt;0")&lt;=2,1,
IF($B$1-COUNTIF(P62:INDEX(P62:V62,$B$1),"&gt;0")=3,0.8,
IF($B$1-COUNTIF(P62:INDEX(P62:V62,$B$1),"&gt;0")=4,0.6,0))))</f>
        <v>37.6</v>
      </c>
      <c r="P62" s="3">
        <v>35</v>
      </c>
      <c r="Q62" s="3">
        <v>34</v>
      </c>
      <c r="R62" s="3">
        <v>38</v>
      </c>
      <c r="S62" s="3">
        <v>38</v>
      </c>
      <c r="T62" s="3">
        <v>43</v>
      </c>
      <c r="U62" s="3"/>
      <c r="V62" s="3"/>
      <c r="W62" s="3">
        <f>MIN(100,
IF($B$1&gt;=1,IFERROR(VALUE(SUBSTITUTE(SUBSTITUTE(TRIM(X62),"A",""),"B","")),0),0)+
IF($B$1&gt;=2,IFERROR(VALUE(SUBSTITUTE(SUBSTITUTE(TRIM(Y62),"A",""),"B","")),0),0)+
IF($B$1&gt;=3,IFERROR(VALUE(SUBSTITUTE(SUBSTITUTE(TRIM(Z62),"A",""),"B","")),0),0)+
IF($B$1&gt;=4,IFERROR(VALUE(SUBSTITUTE(SUBSTITUTE(TRIM(AA62),"A",""),"B","")),0),0)+
IF($B$1&gt;=5,IFERROR(VALUE(SUBSTITUTE(SUBSTITUTE(TRIM(AB62),"A",""),"B","")),0),0)+
IF($B$1&gt;=6,IFERROR(VALUE(SUBSTITUTE(SUBSTITUTE(TRIM(AC62),"A",""),"B","")),0),0)+
IF($B$1&gt;=7,IFERROR(VALUE(SUBSTITUTE(SUBSTITUTE(TRIM(AD62),"A",""),"B","")),0),0)
)</f>
        <v>0</v>
      </c>
      <c r="X62" s="3"/>
      <c r="Y62" s="3"/>
      <c r="Z62" s="3"/>
      <c r="AA62" s="3"/>
      <c r="AB62" s="3"/>
      <c r="AC62" s="3"/>
      <c r="AD62" s="3"/>
      <c r="AE62" s="19">
        <f>AH62+AK62+AN62+AQ62+AT62+AW62+AZ62</f>
        <v>15.460247101828518</v>
      </c>
      <c r="AF62" s="10"/>
      <c r="AG62" s="10">
        <f>SQRT(AF62)</f>
        <v>0</v>
      </c>
      <c r="AH62" s="10">
        <f>IF(AG62&gt;0,AG62/AG$6*1000, 0)</f>
        <v>0</v>
      </c>
      <c r="AI62" s="10">
        <v>0.3</v>
      </c>
      <c r="AJ62" s="10">
        <f>SQRT(AI62)</f>
        <v>0.54772255750516607</v>
      </c>
      <c r="AK62" s="10">
        <f>IF(AJ62&gt;0,AJ62/AJ$6*1000, 0)</f>
        <v>15.460247101828518</v>
      </c>
      <c r="AL62" s="10"/>
      <c r="AM62" s="10">
        <f>SQRT(AL62)</f>
        <v>0</v>
      </c>
      <c r="AN62" s="10">
        <f>IF(AM62&gt;0,AM62/AM$6*1000, 0)</f>
        <v>0</v>
      </c>
      <c r="AO62" s="10"/>
      <c r="AP62" s="10"/>
      <c r="AQ62" s="10"/>
      <c r="AR62" s="10"/>
      <c r="AS62" s="10"/>
      <c r="AT62" s="10"/>
      <c r="AU62" s="10"/>
      <c r="AV62" s="10"/>
      <c r="AW62" s="10"/>
      <c r="AX62" s="17"/>
      <c r="AY62" s="10">
        <f>SQRT(AX62)</f>
        <v>0</v>
      </c>
      <c r="AZ62" s="21">
        <f>IF(AY62&gt;0, AY62/AY$6*1000, 0)</f>
        <v>0</v>
      </c>
      <c r="BA62" s="16">
        <v>0.12</v>
      </c>
      <c r="BB62" s="15">
        <f>SQRT(BA62)</f>
        <v>0.34641016151377546</v>
      </c>
      <c r="BC62" s="10">
        <f>IF(BB62&gt;0, BB62/BB$6*10000, 0)</f>
        <v>92.784272712216492</v>
      </c>
      <c r="BD62" s="10"/>
      <c r="BE62" s="10"/>
      <c r="BF62" s="10"/>
      <c r="BG62" s="17">
        <v>16</v>
      </c>
      <c r="BH62" s="40">
        <f>IF(BG62&gt;0, BG62/BG$6*2000, 0)</f>
        <v>59.925093632958799</v>
      </c>
      <c r="BI62" s="17"/>
      <c r="BJ62" s="17"/>
      <c r="BK62" s="3"/>
      <c r="BL62" s="1"/>
      <c r="BM62" s="1"/>
      <c r="BN62" s="1"/>
    </row>
    <row r="63" spans="1:66" s="4" customFormat="1" ht="19.5" customHeight="1" x14ac:dyDescent="0.25">
      <c r="A63" s="1"/>
      <c r="B63" s="1">
        <v>76</v>
      </c>
      <c r="C63" s="26">
        <v>57</v>
      </c>
      <c r="D63" s="1" t="str">
        <f>IF(C63&lt;B63,"▲"&amp;B63-C63,IF(C63&gt;B63,"▼"&amp;C63-B63,"—"))</f>
        <v>▲19</v>
      </c>
      <c r="E63" s="2" t="s">
        <v>74</v>
      </c>
      <c r="F63" s="27">
        <f>G63+O63+W63+AE63+BC63+BH63</f>
        <v>311.1349801825699</v>
      </c>
      <c r="G63" s="12">
        <f>IF(COUNTIF(H63:INDEX(H63:N63,$B$1),"&gt;0")=0,0,
(SUMIF(H63:INDEX(H63:N63,$B$1),"&gt;0",H63:INDEX(H63:N63,$B$1))*$B$1/COUNTIF(H63:INDEX(H63:N63,$B$1),"&gt;0"))*
IF($B$1-COUNTIF(H63:INDEX(H63:N63,$B$1),"&gt;0")&lt;=2,1,
IF($B$1-COUNTIF(H63:INDEX(H63:N63,$B$1),"&gt;0")=3,0.8,
IF($B$1-COUNTIF(H63:INDEX(H63:N63,$B$1),"&gt;0")=4,0.6,0))))</f>
        <v>195</v>
      </c>
      <c r="H63" s="3">
        <v>37</v>
      </c>
      <c r="I63" s="3">
        <v>34</v>
      </c>
      <c r="J63" s="3">
        <v>51</v>
      </c>
      <c r="K63" s="3">
        <v>41</v>
      </c>
      <c r="L63" s="3">
        <v>32</v>
      </c>
      <c r="M63" s="3"/>
      <c r="N63" s="3"/>
      <c r="O63" s="10">
        <f>0.2*IF(COUNTIF(P63:INDEX(P63:V63,$B$1),"&gt;0")=0,0,
(SUMIF(P63:INDEX(P63:V63,$B$1),"&gt;0",P63:INDEX(P63:V63,$B$1))*$B$1/COUNTIF(P63:INDEX(P63:V63,$B$1),"&gt;0"))*
IF($B$1-COUNTIF(P63:INDEX(P63:V63,$B$1),"&gt;0")&lt;=2,1,
IF($B$1-COUNTIF(P63:INDEX(P63:V63,$B$1),"&gt;0")=3,0.8,
IF($B$1-COUNTIF(P63:INDEX(P63:V63,$B$1),"&gt;0")=4,0.6,0))))</f>
        <v>31.8</v>
      </c>
      <c r="P63" s="3">
        <v>35</v>
      </c>
      <c r="Q63" s="3">
        <v>30</v>
      </c>
      <c r="R63" s="3">
        <v>33</v>
      </c>
      <c r="S63" s="3">
        <v>36</v>
      </c>
      <c r="T63" s="3">
        <v>25</v>
      </c>
      <c r="U63" s="3"/>
      <c r="V63" s="3"/>
      <c r="W63" s="3">
        <f>MIN(100,
IF($B$1&gt;=1,IFERROR(VALUE(SUBSTITUTE(SUBSTITUTE(TRIM(X63),"A",""),"B","")),0),0)+
IF($B$1&gt;=2,IFERROR(VALUE(SUBSTITUTE(SUBSTITUTE(TRIM(Y63),"A",""),"B","")),0),0)+
IF($B$1&gt;=3,IFERROR(VALUE(SUBSTITUTE(SUBSTITUTE(TRIM(Z63),"A",""),"B","")),0),0)+
IF($B$1&gt;=4,IFERROR(VALUE(SUBSTITUTE(SUBSTITUTE(TRIM(AA63),"A",""),"B","")),0),0)+
IF($B$1&gt;=5,IFERROR(VALUE(SUBSTITUTE(SUBSTITUTE(TRIM(AB63),"A",""),"B","")),0),0)+
IF($B$1&gt;=6,IFERROR(VALUE(SUBSTITUTE(SUBSTITUTE(TRIM(AC63),"A",""),"B","")),0),0)+
IF($B$1&gt;=7,IFERROR(VALUE(SUBSTITUTE(SUBSTITUTE(TRIM(AD63),"A",""),"B","")),0),0)
)</f>
        <v>0</v>
      </c>
      <c r="X63" s="3"/>
      <c r="Y63" s="3"/>
      <c r="Z63" s="3"/>
      <c r="AA63" s="3"/>
      <c r="AB63" s="3"/>
      <c r="AC63" s="3"/>
      <c r="AD63" s="3"/>
      <c r="AE63" s="19">
        <f>AH63+AK63+AN63+AQ63+AT63+AW63+AZ63</f>
        <v>0</v>
      </c>
      <c r="AF63" s="10"/>
      <c r="AG63" s="10">
        <f>SQRT(AF63)</f>
        <v>0</v>
      </c>
      <c r="AH63" s="10">
        <f>IF(AG63&gt;0,AG63/AG$6*1000, 0)</f>
        <v>0</v>
      </c>
      <c r="AI63" s="10"/>
      <c r="AJ63" s="10">
        <f>SQRT(AI63)</f>
        <v>0</v>
      </c>
      <c r="AK63" s="10">
        <f>IF(AJ63&gt;0,AJ63/AJ$6*1000, 0)</f>
        <v>0</v>
      </c>
      <c r="AL63" s="10"/>
      <c r="AM63" s="10">
        <f>SQRT(AL63)</f>
        <v>0</v>
      </c>
      <c r="AN63" s="10">
        <f>IF(AM63&gt;0,AM63/AM$6*1000, 0)</f>
        <v>0</v>
      </c>
      <c r="AO63" s="10"/>
      <c r="AP63" s="10"/>
      <c r="AQ63" s="10"/>
      <c r="AR63" s="10"/>
      <c r="AS63" s="10"/>
      <c r="AT63" s="10"/>
      <c r="AU63" s="10"/>
      <c r="AV63" s="10"/>
      <c r="AW63" s="10"/>
      <c r="AX63" s="17"/>
      <c r="AY63" s="10">
        <f>SQRT(AX63)</f>
        <v>0</v>
      </c>
      <c r="AZ63" s="21">
        <f>IF(AY63&gt;0, AY63/AY$6*1000, 0)</f>
        <v>0</v>
      </c>
      <c r="BA63" s="16">
        <v>0.06</v>
      </c>
      <c r="BB63" s="15">
        <f>SQRT(BA63)</f>
        <v>0.2449489742783178</v>
      </c>
      <c r="BC63" s="10">
        <f>IF(BB63&gt;0, BB63/BB$6*10000, 0)</f>
        <v>65.608388422270224</v>
      </c>
      <c r="BD63" s="10"/>
      <c r="BE63" s="10"/>
      <c r="BF63" s="10"/>
      <c r="BG63" s="17">
        <v>5</v>
      </c>
      <c r="BH63" s="40">
        <f>IF(BG63&gt;0, BG63/BG$6*2000, 0)</f>
        <v>18.726591760299627</v>
      </c>
      <c r="BI63" s="17"/>
      <c r="BJ63" s="17"/>
      <c r="BK63" s="3"/>
      <c r="BL63" s="1"/>
      <c r="BM63" s="1"/>
      <c r="BN63" s="1"/>
    </row>
    <row r="64" spans="1:66" s="4" customFormat="1" ht="20.100000000000001" customHeight="1" x14ac:dyDescent="0.25">
      <c r="A64" s="1"/>
      <c r="B64" s="1">
        <v>59</v>
      </c>
      <c r="C64" s="26">
        <v>58</v>
      </c>
      <c r="D64" s="1" t="str">
        <f>IF(C64&lt;B64,"▲"&amp;B64-C64,IF(C64&gt;B64,"▼"&amp;C64-B64,"—"))</f>
        <v>▲1</v>
      </c>
      <c r="E64" s="2" t="s">
        <v>129</v>
      </c>
      <c r="F64" s="27">
        <f>G64+O64+W64+AE64+BC64+BH64</f>
        <v>310.40793041219274</v>
      </c>
      <c r="G64" s="12">
        <f>IF(COUNTIF(H64:INDEX(H64:N64,$B$1),"&gt;0")=0,0,
(SUMIF(H64:INDEX(H64:N64,$B$1),"&gt;0",H64:INDEX(H64:N64,$B$1))*$B$1/COUNTIF(H64:INDEX(H64:N64,$B$1),"&gt;0"))*
IF($B$1-COUNTIF(H64:INDEX(H64:N64,$B$1),"&gt;0")&lt;=2,1,
IF($B$1-COUNTIF(H64:INDEX(H64:N64,$B$1),"&gt;0")=3,0.8,
IF($B$1-COUNTIF(H64:INDEX(H64:N64,$B$1),"&gt;0")=4,0.6,0))))</f>
        <v>151</v>
      </c>
      <c r="H64" s="3">
        <v>27</v>
      </c>
      <c r="I64" s="3">
        <v>28</v>
      </c>
      <c r="J64" s="3">
        <v>30</v>
      </c>
      <c r="K64" s="3">
        <v>37</v>
      </c>
      <c r="L64" s="3">
        <v>29</v>
      </c>
      <c r="M64" s="3"/>
      <c r="N64" s="3"/>
      <c r="O64" s="10">
        <f>0.2*IF(COUNTIF(P64:INDEX(P64:V64,$B$1),"&gt;0")=0,0,
(SUMIF(P64:INDEX(P64:V64,$B$1),"&gt;0",P64:INDEX(P64:V64,$B$1))*$B$1/COUNTIF(P64:INDEX(P64:V64,$B$1),"&gt;0"))*
IF($B$1-COUNTIF(P64:INDEX(P64:V64,$B$1),"&gt;0")&lt;=2,1,
IF($B$1-COUNTIF(P64:INDEX(P64:V64,$B$1),"&gt;0")=3,0.8,
IF($B$1-COUNTIF(P64:INDEX(P64:V64,$B$1),"&gt;0")=4,0.6,0))))</f>
        <v>41</v>
      </c>
      <c r="P64" s="3">
        <v>43</v>
      </c>
      <c r="Q64" s="3">
        <v>41</v>
      </c>
      <c r="R64" s="3">
        <v>41</v>
      </c>
      <c r="S64" s="3">
        <v>40</v>
      </c>
      <c r="T64" s="3">
        <v>40</v>
      </c>
      <c r="U64" s="3"/>
      <c r="V64" s="3"/>
      <c r="W64" s="3">
        <f>MIN(100,
IF($B$1&gt;=1,IFERROR(VALUE(SUBSTITUTE(SUBSTITUTE(TRIM(X64),"A",""),"B","")),0),0)+
IF($B$1&gt;=2,IFERROR(VALUE(SUBSTITUTE(SUBSTITUTE(TRIM(Y64),"A",""),"B","")),0),0)+
IF($B$1&gt;=3,IFERROR(VALUE(SUBSTITUTE(SUBSTITUTE(TRIM(Z64),"A",""),"B","")),0),0)+
IF($B$1&gt;=4,IFERROR(VALUE(SUBSTITUTE(SUBSTITUTE(TRIM(AA64),"A",""),"B","")),0),0)+
IF($B$1&gt;=5,IFERROR(VALUE(SUBSTITUTE(SUBSTITUTE(TRIM(AB64),"A",""),"B","")),0),0)+
IF($B$1&gt;=6,IFERROR(VALUE(SUBSTITUTE(SUBSTITUTE(TRIM(AC64),"A",""),"B","")),0),0)+
IF($B$1&gt;=7,IFERROR(VALUE(SUBSTITUTE(SUBSTITUTE(TRIM(AD64),"A",""),"B","")),0),0)
)</f>
        <v>0</v>
      </c>
      <c r="X64" s="3"/>
      <c r="Y64" s="3"/>
      <c r="Z64" s="3"/>
      <c r="AA64" s="3"/>
      <c r="AB64" s="3"/>
      <c r="AC64" s="3"/>
      <c r="AD64" s="3"/>
      <c r="AE64" s="19">
        <f>AH64+AK64+AN64+AQ64+AT64+AW64+AZ64</f>
        <v>0</v>
      </c>
      <c r="AF64" s="10"/>
      <c r="AG64" s="10">
        <f>SQRT(AF64)</f>
        <v>0</v>
      </c>
      <c r="AH64" s="10">
        <f>IF(AG64&gt;0,AG64/AG$6*1000, 0)</f>
        <v>0</v>
      </c>
      <c r="AI64" s="10"/>
      <c r="AJ64" s="10">
        <f>SQRT(AI64)</f>
        <v>0</v>
      </c>
      <c r="AK64" s="10">
        <f>IF(AJ64&gt;0,AJ64/AJ$6*1000, 0)</f>
        <v>0</v>
      </c>
      <c r="AL64" s="10"/>
      <c r="AM64" s="10">
        <f>SQRT(AL64)</f>
        <v>0</v>
      </c>
      <c r="AN64" s="10">
        <f>IF(AM64&gt;0,AM64/AM$6*1000, 0)</f>
        <v>0</v>
      </c>
      <c r="AO64" s="10"/>
      <c r="AP64" s="10"/>
      <c r="AQ64" s="10"/>
      <c r="AR64" s="10"/>
      <c r="AS64" s="10"/>
      <c r="AT64" s="10"/>
      <c r="AU64" s="10"/>
      <c r="AV64" s="10"/>
      <c r="AW64" s="10"/>
      <c r="AX64" s="17"/>
      <c r="AY64" s="10">
        <f>SQRT(AX64)</f>
        <v>0</v>
      </c>
      <c r="AZ64" s="21">
        <f>IF(AY64&gt;0, AY64/AY$6*1000, 0)</f>
        <v>0</v>
      </c>
      <c r="BA64" s="16">
        <v>0.1</v>
      </c>
      <c r="BB64" s="15">
        <f>SQRT(BA64)</f>
        <v>0.31622776601683794</v>
      </c>
      <c r="BC64" s="10">
        <f>IF(BB64&gt;0, BB64/BB$6*10000, 0)</f>
        <v>84.70006524365337</v>
      </c>
      <c r="BD64" s="10"/>
      <c r="BE64" s="10"/>
      <c r="BF64" s="10"/>
      <c r="BG64" s="17">
        <v>9</v>
      </c>
      <c r="BH64" s="40">
        <f>IF(BG64&gt;0, BG64/BG$6*2000, 0)</f>
        <v>33.707865168539328</v>
      </c>
      <c r="BI64" s="17"/>
      <c r="BJ64" s="17"/>
      <c r="BK64" s="3"/>
      <c r="BL64" s="1"/>
      <c r="BM64" s="1"/>
      <c r="BN64" s="1"/>
    </row>
    <row r="65" spans="1:85" s="4" customFormat="1" ht="20.100000000000001" customHeight="1" x14ac:dyDescent="0.25">
      <c r="A65" s="1"/>
      <c r="B65" s="1">
        <v>66</v>
      </c>
      <c r="C65" s="26">
        <v>59</v>
      </c>
      <c r="D65" s="1" t="str">
        <f>IF(C65&lt;B65,"▲"&amp;B65-C65,IF(C65&gt;B65,"▼"&amp;C65-B65,"—"))</f>
        <v>▲7</v>
      </c>
      <c r="E65" s="2" t="s">
        <v>69</v>
      </c>
      <c r="F65" s="27">
        <f>G65+O65+W65+AE65+BC65+BH65</f>
        <v>307.85917994390798</v>
      </c>
      <c r="G65" s="12">
        <f>IF(COUNTIF(H65:INDEX(H65:N65,$B$1),"&gt;0")=0,0,
(SUMIF(H65:INDEX(H65:N65,$B$1),"&gt;0",H65:INDEX(H65:N65,$B$1))*$B$1/COUNTIF(H65:INDEX(H65:N65,$B$1),"&gt;0"))*
IF($B$1-COUNTIF(H65:INDEX(H65:N65,$B$1),"&gt;0")&lt;=2,1,
IF($B$1-COUNTIF(H65:INDEX(H65:N65,$B$1),"&gt;0")=3,0.8,
IF($B$1-COUNTIF(H65:INDEX(H65:N65,$B$1),"&gt;0")=4,0.6,0))))</f>
        <v>225</v>
      </c>
      <c r="H65" s="3">
        <v>41</v>
      </c>
      <c r="I65" s="3">
        <v>52</v>
      </c>
      <c r="J65" s="3">
        <v>40</v>
      </c>
      <c r="K65" s="3">
        <v>37</v>
      </c>
      <c r="L65" s="3">
        <v>55</v>
      </c>
      <c r="M65" s="3"/>
      <c r="N65" s="3"/>
      <c r="O65" s="10">
        <f>0.2*IF(COUNTIF(P65:INDEX(P65:V65,$B$1),"&gt;0")=0,0,
(SUMIF(P65:INDEX(P65:V65,$B$1),"&gt;0",P65:INDEX(P65:V65,$B$1))*$B$1/COUNTIF(P65:INDEX(P65:V65,$B$1),"&gt;0"))*
IF($B$1-COUNTIF(P65:INDEX(P65:V65,$B$1),"&gt;0")&lt;=2,1,
IF($B$1-COUNTIF(P65:INDEX(P65:V65,$B$1),"&gt;0")=3,0.8,
IF($B$1-COUNTIF(P65:INDEX(P65:V65,$B$1),"&gt;0")=4,0.6,0))))</f>
        <v>34.6</v>
      </c>
      <c r="P65" s="3">
        <v>38</v>
      </c>
      <c r="Q65" s="3">
        <v>29</v>
      </c>
      <c r="R65" s="3">
        <v>41</v>
      </c>
      <c r="S65" s="3">
        <v>34</v>
      </c>
      <c r="T65" s="3">
        <v>31</v>
      </c>
      <c r="U65" s="3"/>
      <c r="V65" s="3"/>
      <c r="W65" s="3">
        <f>MIN(100,
IF($B$1&gt;=1,IFERROR(VALUE(SUBSTITUTE(SUBSTITUTE(TRIM(X65),"A",""),"B","")),0),0)+
IF($B$1&gt;=2,IFERROR(VALUE(SUBSTITUTE(SUBSTITUTE(TRIM(Y65),"A",""),"B","")),0),0)+
IF($B$1&gt;=3,IFERROR(VALUE(SUBSTITUTE(SUBSTITUTE(TRIM(Z65),"A",""),"B","")),0),0)+
IF($B$1&gt;=4,IFERROR(VALUE(SUBSTITUTE(SUBSTITUTE(TRIM(AA65),"A",""),"B","")),0),0)+
IF($B$1&gt;=5,IFERROR(VALUE(SUBSTITUTE(SUBSTITUTE(TRIM(AB65),"A",""),"B","")),0),0)+
IF($B$1&gt;=6,IFERROR(VALUE(SUBSTITUTE(SUBSTITUTE(TRIM(AC65),"A",""),"B","")),0),0)+
IF($B$1&gt;=7,IFERROR(VALUE(SUBSTITUTE(SUBSTITUTE(TRIM(AD65),"A",""),"B","")),0),0)
)</f>
        <v>0</v>
      </c>
      <c r="X65" s="3"/>
      <c r="Y65" s="3"/>
      <c r="Z65" s="3"/>
      <c r="AA65" s="3"/>
      <c r="AB65" s="3"/>
      <c r="AC65" s="3"/>
      <c r="AD65" s="3"/>
      <c r="AE65" s="19">
        <f>AH65+AK65+AN65+AQ65+AT65+AW65+AZ65</f>
        <v>22.041951479488485</v>
      </c>
      <c r="AF65" s="10"/>
      <c r="AG65" s="10">
        <f>SQRT(AF65)</f>
        <v>0</v>
      </c>
      <c r="AH65" s="10">
        <f>IF(AG65&gt;0,AG65/AG$6*1000, 0)</f>
        <v>0</v>
      </c>
      <c r="AI65" s="10">
        <v>0.1</v>
      </c>
      <c r="AJ65" s="10">
        <f>SQRT(AI65)</f>
        <v>0.31622776601683794</v>
      </c>
      <c r="AK65" s="10">
        <f>IF(AJ65&gt;0,AJ65/AJ$6*1000, 0)</f>
        <v>8.9259778259788263</v>
      </c>
      <c r="AL65" s="10"/>
      <c r="AM65" s="10">
        <f>SQRT(AL65)</f>
        <v>0</v>
      </c>
      <c r="AN65" s="10">
        <f>IF(AM65&gt;0,AM65/AM$6*1000, 0)</f>
        <v>0</v>
      </c>
      <c r="AO65" s="10"/>
      <c r="AP65" s="10"/>
      <c r="AQ65" s="10"/>
      <c r="AR65" s="10"/>
      <c r="AS65" s="10"/>
      <c r="AT65" s="10"/>
      <c r="AU65" s="10"/>
      <c r="AV65" s="10"/>
      <c r="AW65" s="10"/>
      <c r="AX65" s="17">
        <v>14</v>
      </c>
      <c r="AY65" s="10">
        <f>SQRT(AX65)</f>
        <v>3.7416573867739413</v>
      </c>
      <c r="AZ65" s="21">
        <f>IF(AY65&gt;0, AY65/AY$6*1000, 0)</f>
        <v>13.115973653509659</v>
      </c>
      <c r="BA65" s="16"/>
      <c r="BB65" s="15">
        <f>SQRT(BA65)</f>
        <v>0</v>
      </c>
      <c r="BC65" s="10">
        <f>IF(BB65&gt;0, BB65/BB$6*10000, 0)</f>
        <v>0</v>
      </c>
      <c r="BD65" s="10"/>
      <c r="BE65" s="10"/>
      <c r="BF65" s="10"/>
      <c r="BG65" s="17">
        <v>7</v>
      </c>
      <c r="BH65" s="40">
        <f>IF(BG65&gt;0, BG65/BG$6*2000, 0)</f>
        <v>26.217228464419478</v>
      </c>
      <c r="BI65" s="17"/>
      <c r="BJ65" s="17"/>
      <c r="BK65" s="3"/>
      <c r="BL65" s="1"/>
      <c r="BM65" s="1"/>
      <c r="BN65" s="1"/>
    </row>
    <row r="66" spans="1:85" s="4" customFormat="1" ht="20.100000000000001" customHeight="1" x14ac:dyDescent="0.25">
      <c r="A66" s="1"/>
      <c r="B66" s="1">
        <v>54</v>
      </c>
      <c r="C66" s="26">
        <v>60</v>
      </c>
      <c r="D66" s="1" t="str">
        <f>IF(C66&lt;B66,"▲"&amp;B66-C66,IF(C66&gt;B66,"▼"&amp;C66-B66,"—"))</f>
        <v>▼6</v>
      </c>
      <c r="E66" s="2" t="s">
        <v>97</v>
      </c>
      <c r="F66" s="27">
        <f>G66+O66+W66+AE66+BC66+BH66</f>
        <v>301.72408866520311</v>
      </c>
      <c r="G66" s="12">
        <f>IF(COUNTIF(H66:INDEX(H66:N66,$B$1),"&gt;0")=0,0,
(SUMIF(H66:INDEX(H66:N66,$B$1),"&gt;0",H66:INDEX(H66:N66,$B$1))*$B$1/COUNTIF(H66:INDEX(H66:N66,$B$1),"&gt;0"))*
IF($B$1-COUNTIF(H66:INDEX(H66:N66,$B$1),"&gt;0")&lt;=2,1,
IF($B$1-COUNTIF(H66:INDEX(H66:N66,$B$1),"&gt;0")=3,0.8,
IF($B$1-COUNTIF(H66:INDEX(H66:N66,$B$1),"&gt;0")=4,0.6,0))))</f>
        <v>54</v>
      </c>
      <c r="H66" s="3">
        <v>14</v>
      </c>
      <c r="I66" s="3">
        <v>12</v>
      </c>
      <c r="J66" s="3">
        <v>10</v>
      </c>
      <c r="K66" s="3">
        <v>9</v>
      </c>
      <c r="L66" s="3">
        <v>9</v>
      </c>
      <c r="M66" s="3"/>
      <c r="N66" s="3"/>
      <c r="O66" s="10">
        <f>0.2*IF(COUNTIF(P66:INDEX(P66:V66,$B$1),"&gt;0")=0,0,
(SUMIF(P66:INDEX(P66:V66,$B$1),"&gt;0",P66:INDEX(P66:V66,$B$1))*$B$1/COUNTIF(P66:INDEX(P66:V66,$B$1),"&gt;0"))*
IF($B$1-COUNTIF(P66:INDEX(P66:V66,$B$1),"&gt;0")&lt;=2,1,
IF($B$1-COUNTIF(P66:INDEX(P66:V66,$B$1),"&gt;0")=3,0.8,
IF($B$1-COUNTIF(P66:INDEX(P66:V66,$B$1),"&gt;0")=4,0.6,0))))</f>
        <v>54</v>
      </c>
      <c r="P66" s="3">
        <v>56</v>
      </c>
      <c r="Q66" s="3">
        <v>50</v>
      </c>
      <c r="R66" s="3">
        <v>53</v>
      </c>
      <c r="S66" s="3">
        <v>56</v>
      </c>
      <c r="T66" s="3">
        <v>55</v>
      </c>
      <c r="U66" s="3"/>
      <c r="V66" s="3"/>
      <c r="W66" s="3">
        <f>MIN(100,
IF($B$1&gt;=1,IFERROR(VALUE(SUBSTITUTE(SUBSTITUTE(TRIM(X66),"A",""),"B","")),0),0)+
IF($B$1&gt;=2,IFERROR(VALUE(SUBSTITUTE(SUBSTITUTE(TRIM(Y66),"A",""),"B","")),0),0)+
IF($B$1&gt;=3,IFERROR(VALUE(SUBSTITUTE(SUBSTITUTE(TRIM(Z66),"A",""),"B","")),0),0)+
IF($B$1&gt;=4,IFERROR(VALUE(SUBSTITUTE(SUBSTITUTE(TRIM(AA66),"A",""),"B","")),0),0)+
IF($B$1&gt;=5,IFERROR(VALUE(SUBSTITUTE(SUBSTITUTE(TRIM(AB66),"A",""),"B","")),0),0)+
IF($B$1&gt;=6,IFERROR(VALUE(SUBSTITUTE(SUBSTITUTE(TRIM(AC66),"A",""),"B","")),0),0)+
IF($B$1&gt;=7,IFERROR(VALUE(SUBSTITUTE(SUBSTITUTE(TRIM(AD66),"A",""),"B","")),0),0)
)</f>
        <v>0</v>
      </c>
      <c r="X66" s="3"/>
      <c r="Y66" s="3"/>
      <c r="Z66" s="3"/>
      <c r="AA66" s="3"/>
      <c r="AB66" s="3"/>
      <c r="AC66" s="3"/>
      <c r="AD66" s="3"/>
      <c r="AE66" s="19">
        <f>AH66+AK66+AN66+AQ66+AT66+AW66+AZ66</f>
        <v>8.9259778259788263</v>
      </c>
      <c r="AF66" s="10"/>
      <c r="AG66" s="10">
        <f>SQRT(AF66)</f>
        <v>0</v>
      </c>
      <c r="AH66" s="10">
        <f>IF(AG66&gt;0,AG66/AG$6*1000, 0)</f>
        <v>0</v>
      </c>
      <c r="AI66" s="10">
        <v>0.1</v>
      </c>
      <c r="AJ66" s="10">
        <f>SQRT(AI66)</f>
        <v>0.31622776601683794</v>
      </c>
      <c r="AK66" s="10">
        <f>IF(AJ66&gt;0,AJ66/AJ$6*1000, 0)</f>
        <v>8.9259778259788263</v>
      </c>
      <c r="AL66" s="10"/>
      <c r="AM66" s="10">
        <f>SQRT(AL66)</f>
        <v>0</v>
      </c>
      <c r="AN66" s="10">
        <f>IF(AM66&gt;0,AM66/AM$6*1000, 0)</f>
        <v>0</v>
      </c>
      <c r="AO66" s="10"/>
      <c r="AP66" s="10"/>
      <c r="AQ66" s="10"/>
      <c r="AR66" s="10"/>
      <c r="AS66" s="10"/>
      <c r="AT66" s="10"/>
      <c r="AU66" s="10"/>
      <c r="AV66" s="10"/>
      <c r="AW66" s="10"/>
      <c r="AX66" s="17"/>
      <c r="AY66" s="10">
        <f>SQRT(AX66)</f>
        <v>0</v>
      </c>
      <c r="AZ66" s="21">
        <f>IF(AY66&gt;0, AY66/AY$6*1000, 0)</f>
        <v>0</v>
      </c>
      <c r="BA66" s="16">
        <v>0.18</v>
      </c>
      <c r="BB66" s="15">
        <f>SQRT(BA66)</f>
        <v>0.42426406871192851</v>
      </c>
      <c r="BC66" s="10">
        <f>IF(BB66&gt;0, BB66/BB$6*10000, 0)</f>
        <v>113.63706215008573</v>
      </c>
      <c r="BD66" s="10"/>
      <c r="BE66" s="10"/>
      <c r="BF66" s="10"/>
      <c r="BG66" s="17">
        <v>19</v>
      </c>
      <c r="BH66" s="40">
        <f>IF(BG66&gt;0, BG66/BG$6*2000, 0)</f>
        <v>71.161048689138568</v>
      </c>
      <c r="BI66" s="17"/>
      <c r="BJ66" s="17"/>
      <c r="BK66" s="3"/>
      <c r="BL66" s="1"/>
      <c r="BM66" s="1"/>
      <c r="BN66" s="1"/>
    </row>
    <row r="67" spans="1:85" s="4" customFormat="1" ht="20.100000000000001" customHeight="1" x14ac:dyDescent="0.25">
      <c r="A67" s="1"/>
      <c r="B67" s="1">
        <v>83</v>
      </c>
      <c r="C67" s="26">
        <v>61</v>
      </c>
      <c r="D67" s="1" t="str">
        <f>IF(C67&lt;B67,"▲"&amp;B67-C67,IF(C67&gt;B67,"▼"&amp;C67-B67,"—"))</f>
        <v>▲22</v>
      </c>
      <c r="E67" s="2" t="s">
        <v>83</v>
      </c>
      <c r="F67" s="27">
        <f>G67+O67+W67+AE67+BC67+BH67</f>
        <v>300.37634312889918</v>
      </c>
      <c r="G67" s="12">
        <f>IF(COUNTIF(H67:INDEX(H67:N67,$B$1),"&gt;0")=0,0,
(SUMIF(H67:INDEX(H67:N67,$B$1),"&gt;0",H67:INDEX(H67:N67,$B$1))*$B$1/COUNTIF(H67:INDEX(H67:N67,$B$1),"&gt;0"))*
IF($B$1-COUNTIF(H67:INDEX(H67:N67,$B$1),"&gt;0")&lt;=2,1,
IF($B$1-COUNTIF(H67:INDEX(H67:N67,$B$1),"&gt;0")=3,0.8,
IF($B$1-COUNTIF(H67:INDEX(H67:N67,$B$1),"&gt;0")=4,0.6,0))))</f>
        <v>151</v>
      </c>
      <c r="H67" s="3">
        <v>48</v>
      </c>
      <c r="I67" s="3">
        <v>17</v>
      </c>
      <c r="J67" s="3">
        <v>22</v>
      </c>
      <c r="K67" s="3">
        <v>47</v>
      </c>
      <c r="L67" s="3">
        <v>17</v>
      </c>
      <c r="M67" s="3"/>
      <c r="N67" s="3"/>
      <c r="O67" s="10">
        <f>0.2*IF(COUNTIF(P67:INDEX(P67:V67,$B$1),"&gt;0")=0,0,
(SUMIF(P67:INDEX(P67:V67,$B$1),"&gt;0",P67:INDEX(P67:V67,$B$1))*$B$1/COUNTIF(P67:INDEX(P67:V67,$B$1),"&gt;0"))*
IF($B$1-COUNTIF(P67:INDEX(P67:V67,$B$1),"&gt;0")&lt;=2,1,
IF($B$1-COUNTIF(P67:INDEX(P67:V67,$B$1),"&gt;0")=3,0.8,
IF($B$1-COUNTIF(P67:INDEX(P67:V67,$B$1),"&gt;0")=4,0.6,0))))</f>
        <v>34.4</v>
      </c>
      <c r="P67" s="3">
        <v>38</v>
      </c>
      <c r="Q67" s="3">
        <v>32</v>
      </c>
      <c r="R67" s="3">
        <v>32</v>
      </c>
      <c r="S67" s="3">
        <v>40</v>
      </c>
      <c r="T67" s="3">
        <v>30</v>
      </c>
      <c r="U67" s="3"/>
      <c r="V67" s="3"/>
      <c r="W67" s="3">
        <f>MIN(100,
IF($B$1&gt;=1,IFERROR(VALUE(SUBSTITUTE(SUBSTITUTE(TRIM(X67),"A",""),"B","")),0),0)+
IF($B$1&gt;=2,IFERROR(VALUE(SUBSTITUTE(SUBSTITUTE(TRIM(Y67),"A",""),"B","")),0),0)+
IF($B$1&gt;=3,IFERROR(VALUE(SUBSTITUTE(SUBSTITUTE(TRIM(Z67),"A",""),"B","")),0),0)+
IF($B$1&gt;=4,IFERROR(VALUE(SUBSTITUTE(SUBSTITUTE(TRIM(AA67),"A",""),"B","")),0),0)+
IF($B$1&gt;=5,IFERROR(VALUE(SUBSTITUTE(SUBSTITUTE(TRIM(AB67),"A",""),"B","")),0),0)+
IF($B$1&gt;=6,IFERROR(VALUE(SUBSTITUTE(SUBSTITUTE(TRIM(AC67),"A",""),"B","")),0),0)+
IF($B$1&gt;=7,IFERROR(VALUE(SUBSTITUTE(SUBSTITUTE(TRIM(AD67),"A",""),"B","")),0),0)
)</f>
        <v>0</v>
      </c>
      <c r="X67" s="3"/>
      <c r="Y67" s="3"/>
      <c r="Z67" s="3"/>
      <c r="AA67" s="3"/>
      <c r="AB67" s="3"/>
      <c r="AC67" s="3"/>
      <c r="AD67" s="3"/>
      <c r="AE67" s="19">
        <f>AH67+AK67+AN67+AQ67+AT67+AW67+AZ67</f>
        <v>7.8382934749754476</v>
      </c>
      <c r="AF67" s="10"/>
      <c r="AG67" s="10">
        <f>SQRT(AF67)</f>
        <v>0</v>
      </c>
      <c r="AH67" s="10">
        <f>IF(AG67&gt;0,AG67/AG$6*1000, 0)</f>
        <v>0</v>
      </c>
      <c r="AI67" s="10"/>
      <c r="AJ67" s="10">
        <f>SQRT(AI67)</f>
        <v>0</v>
      </c>
      <c r="AK67" s="10">
        <f>IF(AJ67&gt;0,AJ67/AJ$6*1000, 0)</f>
        <v>0</v>
      </c>
      <c r="AL67" s="10"/>
      <c r="AM67" s="10">
        <f>SQRT(AL67)</f>
        <v>0</v>
      </c>
      <c r="AN67" s="10">
        <f>IF(AM67&gt;0,AM67/AM$6*1000, 0)</f>
        <v>0</v>
      </c>
      <c r="AO67" s="10"/>
      <c r="AP67" s="10"/>
      <c r="AQ67" s="10"/>
      <c r="AR67" s="10"/>
      <c r="AS67" s="10"/>
      <c r="AT67" s="10"/>
      <c r="AU67" s="10"/>
      <c r="AV67" s="10"/>
      <c r="AW67" s="10"/>
      <c r="AX67" s="17">
        <v>5</v>
      </c>
      <c r="AY67" s="10">
        <f>SQRT(AX67)</f>
        <v>2.2360679774997898</v>
      </c>
      <c r="AZ67" s="21">
        <f>IF(AY67&gt;0, AY67/AY$6*1000, 0)</f>
        <v>7.8382934749754476</v>
      </c>
      <c r="BA67" s="16">
        <v>0.16</v>
      </c>
      <c r="BB67" s="15">
        <f>SQRT(BA67)</f>
        <v>0.4</v>
      </c>
      <c r="BC67" s="10">
        <f>IF(BB67&gt;0, BB67/BB$6*10000, 0)</f>
        <v>107.1380496539237</v>
      </c>
      <c r="BD67" s="10"/>
      <c r="BE67" s="10"/>
      <c r="BF67" s="10"/>
      <c r="BG67" s="17"/>
      <c r="BH67" s="40">
        <f>IF(BG67&gt;0, BG67/BG$6*2000, 0)</f>
        <v>0</v>
      </c>
      <c r="BI67" s="17"/>
      <c r="BJ67" s="17"/>
      <c r="BK67" s="3"/>
      <c r="BL67" s="1"/>
      <c r="BM67" s="1"/>
      <c r="BN67" s="1"/>
    </row>
    <row r="68" spans="1:85" s="4" customFormat="1" ht="20.100000000000001" customHeight="1" x14ac:dyDescent="0.25">
      <c r="A68" s="1"/>
      <c r="B68" s="1">
        <v>69</v>
      </c>
      <c r="C68" s="26">
        <v>62</v>
      </c>
      <c r="D68" s="1" t="str">
        <f>IF(C68&lt;B68,"▲"&amp;B68-C68,IF(C68&gt;B68,"▼"&amp;C68-B68,"—"))</f>
        <v>▲7</v>
      </c>
      <c r="E68" s="2" t="s">
        <v>87</v>
      </c>
      <c r="F68" s="27">
        <f>G68+O68+W68+AE68+BC68+BH68</f>
        <v>274.11667977375203</v>
      </c>
      <c r="G68" s="12">
        <f>IF(COUNTIF(H68:INDEX(H68:N68,$B$1),"&gt;0")=0,0,
(SUMIF(H68:INDEX(H68:N68,$B$1),"&gt;0",H68:INDEX(H68:N68,$B$1))*$B$1/COUNTIF(H68:INDEX(H68:N68,$B$1),"&gt;0"))*
IF($B$1-COUNTIF(H68:INDEX(H68:N68,$B$1),"&gt;0")&lt;=2,1,
IF($B$1-COUNTIF(H68:INDEX(H68:N68,$B$1),"&gt;0")=3,0.8,
IF($B$1-COUNTIF(H68:INDEX(H68:N68,$B$1),"&gt;0")=4,0.6,0))))</f>
        <v>139</v>
      </c>
      <c r="H68" s="3">
        <v>17</v>
      </c>
      <c r="I68" s="3">
        <v>33</v>
      </c>
      <c r="J68" s="3">
        <v>26</v>
      </c>
      <c r="K68" s="3">
        <v>41</v>
      </c>
      <c r="L68" s="3">
        <v>22</v>
      </c>
      <c r="M68" s="3"/>
      <c r="N68" s="3"/>
      <c r="O68" s="10">
        <f>0.2*IF(COUNTIF(P68:INDEX(P68:V68,$B$1),"&gt;0")=0,0,
(SUMIF(P68:INDEX(P68:V68,$B$1),"&gt;0",P68:INDEX(P68:V68,$B$1))*$B$1/COUNTIF(P68:INDEX(P68:V68,$B$1),"&gt;0"))*
IF($B$1-COUNTIF(P68:INDEX(P68:V68,$B$1),"&gt;0")&lt;=2,1,
IF($B$1-COUNTIF(P68:INDEX(P68:V68,$B$1),"&gt;0")=3,0.8,
IF($B$1-COUNTIF(P68:INDEX(P68:V68,$B$1),"&gt;0")=4,0.6,0))))</f>
        <v>34</v>
      </c>
      <c r="P68" s="3">
        <v>34</v>
      </c>
      <c r="Q68" s="3">
        <v>35</v>
      </c>
      <c r="R68" s="3">
        <v>37</v>
      </c>
      <c r="S68" s="3">
        <v>35</v>
      </c>
      <c r="T68" s="3">
        <v>29</v>
      </c>
      <c r="U68" s="3"/>
      <c r="V68" s="3"/>
      <c r="W68" s="3">
        <f>MIN(100,
IF($B$1&gt;=1,IFERROR(VALUE(SUBSTITUTE(SUBSTITUTE(TRIM(X68),"A",""),"B","")),0),0)+
IF($B$1&gt;=2,IFERROR(VALUE(SUBSTITUTE(SUBSTITUTE(TRIM(Y68),"A",""),"B","")),0),0)+
IF($B$1&gt;=3,IFERROR(VALUE(SUBSTITUTE(SUBSTITUTE(TRIM(Z68),"A",""),"B","")),0),0)+
IF($B$1&gt;=4,IFERROR(VALUE(SUBSTITUTE(SUBSTITUTE(TRIM(AA68),"A",""),"B","")),0),0)+
IF($B$1&gt;=5,IFERROR(VALUE(SUBSTITUTE(SUBSTITUTE(TRIM(AB68),"A",""),"B","")),0),0)+
IF($B$1&gt;=6,IFERROR(VALUE(SUBSTITUTE(SUBSTITUTE(TRIM(AC68),"A",""),"B","")),0),0)+
IF($B$1&gt;=7,IFERROR(VALUE(SUBSTITUTE(SUBSTITUTE(TRIM(AD68),"A",""),"B","")),0),0)
)</f>
        <v>0</v>
      </c>
      <c r="X68" s="3"/>
      <c r="Y68" s="3"/>
      <c r="Z68" s="3"/>
      <c r="AA68" s="3"/>
      <c r="AB68" s="3"/>
      <c r="AC68" s="3"/>
      <c r="AD68" s="3"/>
      <c r="AE68" s="19">
        <f>AH68+AK68+AN68+AQ68+AT68+AW68+AZ68</f>
        <v>8.9259778259788263</v>
      </c>
      <c r="AF68" s="10"/>
      <c r="AG68" s="10">
        <f>SQRT(AF68)</f>
        <v>0</v>
      </c>
      <c r="AH68" s="10">
        <f>IF(AG68&gt;0,AG68/AG$6*1000, 0)</f>
        <v>0</v>
      </c>
      <c r="AI68" s="10">
        <v>0.1</v>
      </c>
      <c r="AJ68" s="10">
        <f>SQRT(AI68)</f>
        <v>0.31622776601683794</v>
      </c>
      <c r="AK68" s="10">
        <f>IF(AJ68&gt;0,AJ68/AJ$6*1000, 0)</f>
        <v>8.9259778259788263</v>
      </c>
      <c r="AL68" s="10"/>
      <c r="AM68" s="10">
        <f>SQRT(AL68)</f>
        <v>0</v>
      </c>
      <c r="AN68" s="10">
        <f>IF(AM68&gt;0,AM68/AM$6*1000, 0)</f>
        <v>0</v>
      </c>
      <c r="AO68" s="10"/>
      <c r="AP68" s="10"/>
      <c r="AQ68" s="10"/>
      <c r="AR68" s="10"/>
      <c r="AS68" s="10"/>
      <c r="AT68" s="10"/>
      <c r="AU68" s="10"/>
      <c r="AV68" s="10"/>
      <c r="AW68" s="10"/>
      <c r="AX68" s="17"/>
      <c r="AY68" s="10">
        <f>SQRT(AX68)</f>
        <v>0</v>
      </c>
      <c r="AZ68" s="21">
        <f>IF(AY68&gt;0, AY68/AY$6*1000, 0)</f>
        <v>0</v>
      </c>
      <c r="BA68" s="16">
        <v>0.1</v>
      </c>
      <c r="BB68" s="15">
        <f>SQRT(BA68)</f>
        <v>0.31622776601683794</v>
      </c>
      <c r="BC68" s="10">
        <f>IF(BB68&gt;0, BB68/BB$6*10000, 0)</f>
        <v>84.70006524365337</v>
      </c>
      <c r="BD68" s="10"/>
      <c r="BE68" s="10"/>
      <c r="BF68" s="10"/>
      <c r="BG68" s="17">
        <v>2</v>
      </c>
      <c r="BH68" s="40">
        <f>IF(BG68&gt;0, BG68/BG$6*2000, 0)</f>
        <v>7.4906367041198498</v>
      </c>
      <c r="BI68" s="17"/>
      <c r="BJ68" s="17"/>
      <c r="BK68" s="3"/>
      <c r="BL68" s="1"/>
      <c r="BM68" s="1"/>
      <c r="BN68" s="1"/>
    </row>
    <row r="69" spans="1:85" s="4" customFormat="1" ht="20.100000000000001" customHeight="1" x14ac:dyDescent="0.25">
      <c r="A69" s="1"/>
      <c r="B69" s="1">
        <v>73</v>
      </c>
      <c r="C69" s="26">
        <v>63</v>
      </c>
      <c r="D69" s="1" t="str">
        <f>IF(C69&lt;B69,"▲"&amp;B69-C69,IF(C69&gt;B69,"▼"&amp;C69-B69,"—"))</f>
        <v>▲10</v>
      </c>
      <c r="E69" s="2" t="s">
        <v>82</v>
      </c>
      <c r="F69" s="27">
        <f>G69+O69+W69+AE69+BC69+BH69</f>
        <v>267.20337221987961</v>
      </c>
      <c r="G69" s="12">
        <f>IF(COUNTIF(H69:INDEX(H69:N69,$B$1),"&gt;0")=0,0,
(SUMIF(H69:INDEX(H69:N69,$B$1),"&gt;0",H69:INDEX(H69:N69,$B$1))*$B$1/COUNTIF(H69:INDEX(H69:N69,$B$1),"&gt;0"))*
IF($B$1-COUNTIF(H69:INDEX(H69:N69,$B$1),"&gt;0")&lt;=2,1,
IF($B$1-COUNTIF(H69:INDEX(H69:N69,$B$1),"&gt;0")=3,0.8,
IF($B$1-COUNTIF(H69:INDEX(H69:N69,$B$1),"&gt;0")=4,0.6,0))))</f>
        <v>153.33333333333334</v>
      </c>
      <c r="H69" s="3">
        <v>-1</v>
      </c>
      <c r="I69" s="3">
        <v>-1</v>
      </c>
      <c r="J69" s="3">
        <v>28</v>
      </c>
      <c r="K69" s="3">
        <v>43</v>
      </c>
      <c r="L69" s="3">
        <v>21</v>
      </c>
      <c r="M69" s="3"/>
      <c r="N69" s="3"/>
      <c r="O69" s="10">
        <f>0.2*IF(COUNTIF(P69:INDEX(P69:V69,$B$1),"&gt;0")=0,0,
(SUMIF(P69:INDEX(P69:V69,$B$1),"&gt;0",P69:INDEX(P69:V69,$B$1))*$B$1/COUNTIF(P69:INDEX(P69:V69,$B$1),"&gt;0"))*
IF($B$1-COUNTIF(P69:INDEX(P69:V69,$B$1),"&gt;0")&lt;=2,1,
IF($B$1-COUNTIF(P69:INDEX(P69:V69,$B$1),"&gt;0")=3,0.8,
IF($B$1-COUNTIF(P69:INDEX(P69:V69,$B$1),"&gt;0")=4,0.6,0))))</f>
        <v>30.333333333333332</v>
      </c>
      <c r="P69" s="3">
        <v>-1</v>
      </c>
      <c r="Q69" s="3">
        <v>-1</v>
      </c>
      <c r="R69" s="3">
        <v>23</v>
      </c>
      <c r="S69" s="3">
        <v>33</v>
      </c>
      <c r="T69" s="3">
        <v>35</v>
      </c>
      <c r="U69" s="3"/>
      <c r="V69" s="3"/>
      <c r="W69" s="3">
        <f>MIN(100,
IF($B$1&gt;=1,IFERROR(VALUE(SUBSTITUTE(SUBSTITUTE(TRIM(X69),"A",""),"B","")),0),0)+
IF($B$1&gt;=2,IFERROR(VALUE(SUBSTITUTE(SUBSTITUTE(TRIM(Y69),"A",""),"B","")),0),0)+
IF($B$1&gt;=3,IFERROR(VALUE(SUBSTITUTE(SUBSTITUTE(TRIM(Z69),"A",""),"B","")),0),0)+
IF($B$1&gt;=4,IFERROR(VALUE(SUBSTITUTE(SUBSTITUTE(TRIM(AA69),"A",""),"B","")),0),0)+
IF($B$1&gt;=5,IFERROR(VALUE(SUBSTITUTE(SUBSTITUTE(TRIM(AB69),"A",""),"B","")),0),0)+
IF($B$1&gt;=6,IFERROR(VALUE(SUBSTITUTE(SUBSTITUTE(TRIM(AC69),"A",""),"B","")),0),0)+
IF($B$1&gt;=7,IFERROR(VALUE(SUBSTITUTE(SUBSTITUTE(TRIM(AD69),"A",""),"B","")),0),0)
)</f>
        <v>10</v>
      </c>
      <c r="X69" s="3"/>
      <c r="Y69" s="3"/>
      <c r="Z69" s="3" t="s">
        <v>31</v>
      </c>
      <c r="AA69" s="3"/>
      <c r="AB69" s="3"/>
      <c r="AC69" s="3"/>
      <c r="AD69" s="3"/>
      <c r="AE69" s="19">
        <f>AH69+AK69+AN69+AQ69+AT69+AW69+AZ69</f>
        <v>31.912366484457717</v>
      </c>
      <c r="AF69" s="10"/>
      <c r="AG69" s="10">
        <f>SQRT(AF69)</f>
        <v>0</v>
      </c>
      <c r="AH69" s="10">
        <f>IF(AG69&gt;0,AG69/AG$6*1000, 0)</f>
        <v>0</v>
      </c>
      <c r="AI69" s="10">
        <v>0.1</v>
      </c>
      <c r="AJ69" s="10">
        <f>SQRT(AI69)</f>
        <v>0.31622776601683794</v>
      </c>
      <c r="AK69" s="10">
        <f>IF(AJ69&gt;0,AJ69/AJ$6*1000, 0)</f>
        <v>8.9259778259788263</v>
      </c>
      <c r="AL69" s="10"/>
      <c r="AM69" s="10">
        <f>SQRT(AL69)</f>
        <v>0</v>
      </c>
      <c r="AN69" s="10">
        <f>IF(AM69&gt;0,AM69/AM$6*1000, 0)</f>
        <v>0</v>
      </c>
      <c r="AO69" s="10"/>
      <c r="AP69" s="10"/>
      <c r="AQ69" s="10"/>
      <c r="AR69" s="10"/>
      <c r="AS69" s="10"/>
      <c r="AT69" s="10"/>
      <c r="AU69" s="10"/>
      <c r="AV69" s="10"/>
      <c r="AW69" s="10"/>
      <c r="AX69" s="17">
        <v>43</v>
      </c>
      <c r="AY69" s="10">
        <f>SQRT(AX69)</f>
        <v>6.5574385243020004</v>
      </c>
      <c r="AZ69" s="21">
        <f>IF(AY69&gt;0, AY69/AY$6*1000, 0)</f>
        <v>22.986388658478891</v>
      </c>
      <c r="BA69" s="16">
        <v>0.02</v>
      </c>
      <c r="BB69" s="15">
        <f>SQRT(BA69)</f>
        <v>0.1414213562373095</v>
      </c>
      <c r="BC69" s="10">
        <f>IF(BB69&gt;0, BB69/BB$6*10000, 0)</f>
        <v>37.879020716695244</v>
      </c>
      <c r="BD69" s="10"/>
      <c r="BE69" s="10"/>
      <c r="BF69" s="10"/>
      <c r="BG69" s="17">
        <v>1</v>
      </c>
      <c r="BH69" s="40">
        <f>IF(BG69&gt;0, BG69/BG$6*2000, 0)</f>
        <v>3.7453183520599249</v>
      </c>
      <c r="BI69" s="17"/>
      <c r="BJ69" s="17"/>
      <c r="BK69" s="3"/>
      <c r="BL69" s="1"/>
      <c r="BM69" s="1"/>
      <c r="BN69" s="1"/>
    </row>
    <row r="70" spans="1:85" s="4" customFormat="1" ht="20.100000000000001" customHeight="1" x14ac:dyDescent="0.25">
      <c r="A70" s="1"/>
      <c r="B70" s="1">
        <v>68</v>
      </c>
      <c r="C70" s="26">
        <v>64</v>
      </c>
      <c r="D70" s="1" t="str">
        <f>IF(C70&lt;B70,"▲"&amp;B70-C70,IF(C70&gt;B70,"▼"&amp;C70-B70,"—"))</f>
        <v>▲4</v>
      </c>
      <c r="E70" s="2" t="s">
        <v>78</v>
      </c>
      <c r="F70" s="27">
        <f>G70+O70+W70+AE70+BC70+BH70</f>
        <v>263.83311595600708</v>
      </c>
      <c r="G70" s="12">
        <f>IF(COUNTIF(H70:INDEX(H70:N70,$B$1),"&gt;0")=0,0,
(SUMIF(H70:INDEX(H70:N70,$B$1),"&gt;0",H70:INDEX(H70:N70,$B$1))*$B$1/COUNTIF(H70:INDEX(H70:N70,$B$1),"&gt;0"))*
IF($B$1-COUNTIF(H70:INDEX(H70:N70,$B$1),"&gt;0")&lt;=2,1,
IF($B$1-COUNTIF(H70:INDEX(H70:N70,$B$1),"&gt;0")=3,0.8,
IF($B$1-COUNTIF(H70:INDEX(H70:N70,$B$1),"&gt;0")=4,0.6,0))))</f>
        <v>163</v>
      </c>
      <c r="H70" s="3">
        <v>34</v>
      </c>
      <c r="I70" s="3">
        <v>21</v>
      </c>
      <c r="J70" s="3">
        <v>60</v>
      </c>
      <c r="K70" s="3">
        <v>25</v>
      </c>
      <c r="L70" s="3">
        <v>23</v>
      </c>
      <c r="M70" s="3"/>
      <c r="N70" s="3"/>
      <c r="O70" s="10">
        <f>0.2*IF(COUNTIF(P70:INDEX(P70:V70,$B$1),"&gt;0")=0,0,
(SUMIF(P70:INDEX(P70:V70,$B$1),"&gt;0",P70:INDEX(P70:V70,$B$1))*$B$1/COUNTIF(P70:INDEX(P70:V70,$B$1),"&gt;0"))*
IF($B$1-COUNTIF(P70:INDEX(P70:V70,$B$1),"&gt;0")&lt;=2,1,
IF($B$1-COUNTIF(P70:INDEX(P70:V70,$B$1),"&gt;0")=3,0.8,
IF($B$1-COUNTIF(P70:INDEX(P70:V70,$B$1),"&gt;0")=4,0.6,0))))</f>
        <v>25.400000000000002</v>
      </c>
      <c r="P70" s="3">
        <v>29</v>
      </c>
      <c r="Q70" s="3">
        <v>25</v>
      </c>
      <c r="R70" s="3">
        <v>26</v>
      </c>
      <c r="S70" s="3">
        <v>22</v>
      </c>
      <c r="T70" s="3">
        <v>25</v>
      </c>
      <c r="U70" s="3"/>
      <c r="V70" s="3"/>
      <c r="W70" s="3">
        <f>MIN(100,
IF($B$1&gt;=1,IFERROR(VALUE(SUBSTITUTE(SUBSTITUTE(TRIM(X70),"A",""),"B","")),0),0)+
IF($B$1&gt;=2,IFERROR(VALUE(SUBSTITUTE(SUBSTITUTE(TRIM(Y70),"A",""),"B","")),0),0)+
IF($B$1&gt;=3,IFERROR(VALUE(SUBSTITUTE(SUBSTITUTE(TRIM(Z70),"A",""),"B","")),0),0)+
IF($B$1&gt;=4,IFERROR(VALUE(SUBSTITUTE(SUBSTITUTE(TRIM(AA70),"A",""),"B","")),0),0)+
IF($B$1&gt;=5,IFERROR(VALUE(SUBSTITUTE(SUBSTITUTE(TRIM(AB70),"A",""),"B","")),0),0)+
IF($B$1&gt;=6,IFERROR(VALUE(SUBSTITUTE(SUBSTITUTE(TRIM(AC70),"A",""),"B","")),0),0)+
IF($B$1&gt;=7,IFERROR(VALUE(SUBSTITUTE(SUBSTITUTE(TRIM(AD70),"A",""),"B","")),0),0)
)</f>
        <v>0</v>
      </c>
      <c r="X70" s="3"/>
      <c r="Y70" s="3"/>
      <c r="Z70" s="3"/>
      <c r="AA70" s="3"/>
      <c r="AB70" s="3"/>
      <c r="AC70" s="3"/>
      <c r="AD70" s="3"/>
      <c r="AE70" s="19">
        <f>AH70+AK70+AN70+AQ70+AT70+AW70+AZ70</f>
        <v>21.864091129045228</v>
      </c>
      <c r="AF70" s="10"/>
      <c r="AG70" s="10">
        <f>SQRT(AF70)</f>
        <v>0</v>
      </c>
      <c r="AH70" s="10">
        <f>IF(AG70&gt;0,AG70/AG$6*1000, 0)</f>
        <v>0</v>
      </c>
      <c r="AI70" s="10">
        <v>0.6</v>
      </c>
      <c r="AJ70" s="10">
        <f>SQRT(AI70)</f>
        <v>0.7745966692414834</v>
      </c>
      <c r="AK70" s="10">
        <f>IF(AJ70&gt;0,AJ70/AJ$6*1000, 0)</f>
        <v>21.864091129045228</v>
      </c>
      <c r="AL70" s="10"/>
      <c r="AM70" s="10">
        <f>SQRT(AL70)</f>
        <v>0</v>
      </c>
      <c r="AN70" s="10">
        <f>IF(AM70&gt;0,AM70/AM$6*1000, 0)</f>
        <v>0</v>
      </c>
      <c r="AO70" s="10"/>
      <c r="AP70" s="10"/>
      <c r="AQ70" s="10"/>
      <c r="AR70" s="10"/>
      <c r="AS70" s="10"/>
      <c r="AT70" s="10"/>
      <c r="AU70" s="10"/>
      <c r="AV70" s="10"/>
      <c r="AW70" s="10"/>
      <c r="AX70" s="17"/>
      <c r="AY70" s="10">
        <f>SQRT(AX70)</f>
        <v>0</v>
      </c>
      <c r="AZ70" s="21">
        <f>IF(AY70&gt;0, AY70/AY$6*1000, 0)</f>
        <v>0</v>
      </c>
      <c r="BA70" s="16">
        <v>0.04</v>
      </c>
      <c r="BB70" s="15">
        <f>SQRT(BA70)</f>
        <v>0.2</v>
      </c>
      <c r="BC70" s="10">
        <f>IF(BB70&gt;0, BB70/BB$6*10000, 0)</f>
        <v>53.569024826961851</v>
      </c>
      <c r="BD70" s="10"/>
      <c r="BE70" s="10"/>
      <c r="BF70" s="10"/>
      <c r="BG70" s="17"/>
      <c r="BH70" s="40">
        <f>IF(BG70&gt;0, BG70/BG$6*2000, 0)</f>
        <v>0</v>
      </c>
      <c r="BI70" s="17"/>
      <c r="BJ70" s="17"/>
      <c r="BK70" s="3"/>
      <c r="BL70" s="1"/>
      <c r="BM70" s="1"/>
      <c r="BN70" s="1"/>
    </row>
    <row r="71" spans="1:85" s="4" customFormat="1" ht="20.100000000000001" customHeight="1" x14ac:dyDescent="0.25">
      <c r="A71" s="1"/>
      <c r="B71" s="1">
        <v>63</v>
      </c>
      <c r="C71" s="26">
        <v>65</v>
      </c>
      <c r="D71" s="1" t="str">
        <f>IF(C71&lt;B71,"▲"&amp;B71-C71,IF(C71&gt;B71,"▼"&amp;C71-B71,"—"))</f>
        <v>▼2</v>
      </c>
      <c r="E71" s="2" t="s">
        <v>84</v>
      </c>
      <c r="F71" s="27">
        <f>G71+O71+W71+AE71+BC71+BH71</f>
        <v>252.76902482696184</v>
      </c>
      <c r="G71" s="12">
        <f>IF(COUNTIF(H71:INDEX(H71:N71,$B$1),"&gt;0")=0,0,
(SUMIF(H71:INDEX(H71:N71,$B$1),"&gt;0",H71:INDEX(H71:N71,$B$1))*$B$1/COUNTIF(H71:INDEX(H71:N71,$B$1),"&gt;0"))*
IF($B$1-COUNTIF(H71:INDEX(H71:N71,$B$1),"&gt;0")&lt;=2,1,
IF($B$1-COUNTIF(H71:INDEX(H71:N71,$B$1),"&gt;0")=3,0.8,
IF($B$1-COUNTIF(H71:INDEX(H71:N71,$B$1),"&gt;0")=4,0.6,0))))</f>
        <v>156</v>
      </c>
      <c r="H71" s="3">
        <v>25</v>
      </c>
      <c r="I71" s="3">
        <v>28</v>
      </c>
      <c r="J71" s="3">
        <v>28</v>
      </c>
      <c r="K71" s="3">
        <v>34</v>
      </c>
      <c r="L71" s="3">
        <v>41</v>
      </c>
      <c r="M71" s="3"/>
      <c r="N71" s="3"/>
      <c r="O71" s="10">
        <f>0.2*IF(COUNTIF(P71:INDEX(P71:V71,$B$1),"&gt;0")=0,0,
(SUMIF(P71:INDEX(P71:V71,$B$1),"&gt;0",P71:INDEX(P71:V71,$B$1))*$B$1/COUNTIF(P71:INDEX(P71:V71,$B$1),"&gt;0"))*
IF($B$1-COUNTIF(P71:INDEX(P71:V71,$B$1),"&gt;0")&lt;=2,1,
IF($B$1-COUNTIF(P71:INDEX(P71:V71,$B$1),"&gt;0")=3,0.8,
IF($B$1-COUNTIF(P71:INDEX(P71:V71,$B$1),"&gt;0")=4,0.6,0))))</f>
        <v>43.2</v>
      </c>
      <c r="P71" s="3">
        <v>47</v>
      </c>
      <c r="Q71" s="3">
        <v>36</v>
      </c>
      <c r="R71" s="3">
        <v>45</v>
      </c>
      <c r="S71" s="3">
        <v>47</v>
      </c>
      <c r="T71" s="3">
        <v>41</v>
      </c>
      <c r="U71" s="3"/>
      <c r="V71" s="3"/>
      <c r="W71" s="3">
        <f>MIN(100,
IF($B$1&gt;=1,IFERROR(VALUE(SUBSTITUTE(SUBSTITUTE(TRIM(X71),"A",""),"B","")),0),0)+
IF($B$1&gt;=2,IFERROR(VALUE(SUBSTITUTE(SUBSTITUTE(TRIM(Y71),"A",""),"B","")),0),0)+
IF($B$1&gt;=3,IFERROR(VALUE(SUBSTITUTE(SUBSTITUTE(TRIM(Z71),"A",""),"B","")),0),0)+
IF($B$1&gt;=4,IFERROR(VALUE(SUBSTITUTE(SUBSTITUTE(TRIM(AA71),"A",""),"B","")),0),0)+
IF($B$1&gt;=5,IFERROR(VALUE(SUBSTITUTE(SUBSTITUTE(TRIM(AB71),"A",""),"B","")),0),0)+
IF($B$1&gt;=6,IFERROR(VALUE(SUBSTITUTE(SUBSTITUTE(TRIM(AC71),"A",""),"B","")),0),0)+
IF($B$1&gt;=7,IFERROR(VALUE(SUBSTITUTE(SUBSTITUTE(TRIM(AD71),"A",""),"B","")),0),0)
)</f>
        <v>0</v>
      </c>
      <c r="X71" s="3"/>
      <c r="Y71" s="3"/>
      <c r="Z71" s="3"/>
      <c r="AA71" s="3"/>
      <c r="AB71" s="3"/>
      <c r="AC71" s="3"/>
      <c r="AD71" s="3"/>
      <c r="AE71" s="19">
        <f>AH71+AK71+AN71+AQ71+AT71+AW71+AZ71</f>
        <v>0</v>
      </c>
      <c r="AF71" s="10"/>
      <c r="AG71" s="10">
        <f>SQRT(AF71)</f>
        <v>0</v>
      </c>
      <c r="AH71" s="10">
        <f>IF(AG71&gt;0,AG71/AG$6*1000, 0)</f>
        <v>0</v>
      </c>
      <c r="AI71" s="10"/>
      <c r="AJ71" s="10">
        <f>SQRT(AI71)</f>
        <v>0</v>
      </c>
      <c r="AK71" s="10">
        <f>IF(AJ71&gt;0,AJ71/AJ$6*1000, 0)</f>
        <v>0</v>
      </c>
      <c r="AL71" s="10"/>
      <c r="AM71" s="10">
        <f>SQRT(AL71)</f>
        <v>0</v>
      </c>
      <c r="AN71" s="10">
        <f>IF(AM71&gt;0,AM71/AM$6*1000, 0)</f>
        <v>0</v>
      </c>
      <c r="AO71" s="10"/>
      <c r="AP71" s="10"/>
      <c r="AQ71" s="10"/>
      <c r="AR71" s="10"/>
      <c r="AS71" s="10"/>
      <c r="AT71" s="10"/>
      <c r="AU71" s="10"/>
      <c r="AV71" s="10"/>
      <c r="AW71" s="10"/>
      <c r="AX71" s="17"/>
      <c r="AY71" s="10">
        <f>SQRT(AX71)</f>
        <v>0</v>
      </c>
      <c r="AZ71" s="21">
        <f>IF(AY71&gt;0, AY71/AY$6*1000, 0)</f>
        <v>0</v>
      </c>
      <c r="BA71" s="16">
        <v>0.04</v>
      </c>
      <c r="BB71" s="15">
        <f>SQRT(BA71)</f>
        <v>0.2</v>
      </c>
      <c r="BC71" s="10">
        <f>IF(BB71&gt;0, BB71/BB$6*10000, 0)</f>
        <v>53.569024826961851</v>
      </c>
      <c r="BD71" s="10"/>
      <c r="BE71" s="10"/>
      <c r="BF71" s="10"/>
      <c r="BG71" s="17"/>
      <c r="BH71" s="40">
        <f>IF(BG71&gt;0, BG71/BG$6*2000, 0)</f>
        <v>0</v>
      </c>
      <c r="BI71" s="17"/>
      <c r="BJ71" s="17"/>
      <c r="BK71" s="3"/>
      <c r="BL71" s="1"/>
      <c r="BM71" s="1"/>
      <c r="BN71" s="1"/>
    </row>
    <row r="72" spans="1:85" s="4" customFormat="1" ht="20.100000000000001" customHeight="1" x14ac:dyDescent="0.25">
      <c r="A72" s="1"/>
      <c r="B72" s="1">
        <v>70</v>
      </c>
      <c r="C72" s="26">
        <v>66</v>
      </c>
      <c r="D72" s="1" t="str">
        <f>IF(C72&lt;B72,"▲"&amp;B72-C72,IF(C72&gt;B72,"▼"&amp;C72-B72,"—"))</f>
        <v>▲4</v>
      </c>
      <c r="E72" s="2" t="s">
        <v>75</v>
      </c>
      <c r="F72" s="27">
        <f>G72+O72+W72+AE72+BC72+BH72</f>
        <v>252.28451241348091</v>
      </c>
      <c r="G72" s="12">
        <f>IF(COUNTIF(H72:INDEX(H72:N72,$B$1),"&gt;0")=0,0,
(SUMIF(H72:INDEX(H72:N72,$B$1),"&gt;0",H72:INDEX(H72:N72,$B$1))*$B$1/COUNTIF(H72:INDEX(H72:N72,$B$1),"&gt;0"))*
IF($B$1-COUNTIF(H72:INDEX(H72:N72,$B$1),"&gt;0")&lt;=2,1,
IF($B$1-COUNTIF(H72:INDEX(H72:N72,$B$1),"&gt;0")=3,0.8,
IF($B$1-COUNTIF(H72:INDEX(H72:N72,$B$1),"&gt;0")=4,0.6,0))))</f>
        <v>199</v>
      </c>
      <c r="H72" s="3">
        <v>41</v>
      </c>
      <c r="I72" s="3">
        <v>39</v>
      </c>
      <c r="J72" s="3">
        <v>43</v>
      </c>
      <c r="K72" s="3">
        <v>51</v>
      </c>
      <c r="L72" s="3">
        <v>25</v>
      </c>
      <c r="M72" s="3"/>
      <c r="N72" s="3"/>
      <c r="O72" s="10">
        <f>0.2*IF(COUNTIF(P72:INDEX(P72:V72,$B$1),"&gt;0")=0,0,
(SUMIF(P72:INDEX(P72:V72,$B$1),"&gt;0",P72:INDEX(P72:V72,$B$1))*$B$1/COUNTIF(P72:INDEX(P72:V72,$B$1),"&gt;0"))*
IF($B$1-COUNTIF(P72:INDEX(P72:V72,$B$1),"&gt;0")&lt;=2,1,
IF($B$1-COUNTIF(P72:INDEX(P72:V72,$B$1),"&gt;0")=3,0.8,
IF($B$1-COUNTIF(P72:INDEX(P72:V72,$B$1),"&gt;0")=4,0.6,0))))</f>
        <v>26.5</v>
      </c>
      <c r="P72" s="3">
        <v>-1</v>
      </c>
      <c r="Q72" s="3">
        <v>26</v>
      </c>
      <c r="R72" s="3">
        <v>30</v>
      </c>
      <c r="S72" s="3">
        <v>27</v>
      </c>
      <c r="T72" s="3">
        <v>23</v>
      </c>
      <c r="U72" s="3"/>
      <c r="V72" s="3"/>
      <c r="W72" s="3">
        <f>MIN(100,
IF($B$1&gt;=1,IFERROR(VALUE(SUBSTITUTE(SUBSTITUTE(TRIM(X72),"A",""),"B","")),0),0)+
IF($B$1&gt;=2,IFERROR(VALUE(SUBSTITUTE(SUBSTITUTE(TRIM(Y72),"A",""),"B","")),0),0)+
IF($B$1&gt;=3,IFERROR(VALUE(SUBSTITUTE(SUBSTITUTE(TRIM(Z72),"A",""),"B","")),0),0)+
IF($B$1&gt;=4,IFERROR(VALUE(SUBSTITUTE(SUBSTITUTE(TRIM(AA72),"A",""),"B","")),0),0)+
IF($B$1&gt;=5,IFERROR(VALUE(SUBSTITUTE(SUBSTITUTE(TRIM(AB72),"A",""),"B","")),0),0)+
IF($B$1&gt;=6,IFERROR(VALUE(SUBSTITUTE(SUBSTITUTE(TRIM(AC72),"A",""),"B","")),0),0)+
IF($B$1&gt;=7,IFERROR(VALUE(SUBSTITUTE(SUBSTITUTE(TRIM(AD72),"A",""),"B","")),0),0)
)</f>
        <v>0</v>
      </c>
      <c r="X72" s="3"/>
      <c r="Y72" s="3"/>
      <c r="Z72" s="3"/>
      <c r="AA72" s="3"/>
      <c r="AB72" s="3"/>
      <c r="AC72" s="3"/>
      <c r="AD72" s="3"/>
      <c r="AE72" s="19">
        <f>AH72+AK72+AN72+AQ72+AT72+AW72+AZ72</f>
        <v>0</v>
      </c>
      <c r="AF72" s="10"/>
      <c r="AG72" s="10">
        <f>SQRT(AF72)</f>
        <v>0</v>
      </c>
      <c r="AH72" s="10">
        <f>IF(AG72&gt;0,AG72/AG$6*1000, 0)</f>
        <v>0</v>
      </c>
      <c r="AI72" s="10"/>
      <c r="AJ72" s="10">
        <f>SQRT(AI72)</f>
        <v>0</v>
      </c>
      <c r="AK72" s="10">
        <f>IF(AJ72&gt;0,AJ72/AJ$6*1000, 0)</f>
        <v>0</v>
      </c>
      <c r="AL72" s="10"/>
      <c r="AM72" s="10">
        <f>SQRT(AL72)</f>
        <v>0</v>
      </c>
      <c r="AN72" s="10">
        <f>IF(AM72&gt;0,AM72/AM$6*1000, 0)</f>
        <v>0</v>
      </c>
      <c r="AO72" s="10"/>
      <c r="AP72" s="10"/>
      <c r="AQ72" s="10"/>
      <c r="AR72" s="10"/>
      <c r="AS72" s="10"/>
      <c r="AT72" s="10"/>
      <c r="AU72" s="10"/>
      <c r="AV72" s="10"/>
      <c r="AW72" s="10"/>
      <c r="AX72" s="17"/>
      <c r="AY72" s="10">
        <f>SQRT(AX72)</f>
        <v>0</v>
      </c>
      <c r="AZ72" s="21">
        <f>IF(AY72&gt;0, AY72/AY$6*1000, 0)</f>
        <v>0</v>
      </c>
      <c r="BA72" s="16">
        <v>0.01</v>
      </c>
      <c r="BB72" s="15">
        <f>SQRT(BA72)</f>
        <v>0.1</v>
      </c>
      <c r="BC72" s="10">
        <f>IF(BB72&gt;0, BB72/BB$6*10000, 0)</f>
        <v>26.784512413480925</v>
      </c>
      <c r="BD72" s="10"/>
      <c r="BE72" s="10"/>
      <c r="BF72" s="10"/>
      <c r="BG72" s="17"/>
      <c r="BH72" s="40">
        <f>IF(BG72&gt;0, BG72/BG$6*2000, 0)</f>
        <v>0</v>
      </c>
      <c r="BI72" s="17"/>
      <c r="BJ72" s="17"/>
      <c r="BK72" s="3"/>
      <c r="BL72" s="1"/>
      <c r="BM72" s="1"/>
      <c r="BN72" s="1"/>
    </row>
    <row r="73" spans="1:85" s="4" customFormat="1" ht="20.100000000000001" customHeight="1" x14ac:dyDescent="0.25">
      <c r="A73" s="1"/>
      <c r="B73" s="1">
        <v>60</v>
      </c>
      <c r="C73" s="26">
        <v>67</v>
      </c>
      <c r="D73" s="1" t="str">
        <f>IF(C73&lt;B73,"▲"&amp;B73-C73,IF(C73&gt;B73,"▼"&amp;C73-B73,"—"))</f>
        <v>▼7</v>
      </c>
      <c r="E73" s="2" t="s">
        <v>94</v>
      </c>
      <c r="F73" s="27">
        <f>G73+O73+W73+AE73+BC73+BH73</f>
        <v>241.9917505944926</v>
      </c>
      <c r="G73" s="12">
        <f>IF(COUNTIF(H73:INDEX(H73:N73,$B$1),"&gt;0")=0,0,
(SUMIF(H73:INDEX(H73:N73,$B$1),"&gt;0",H73:INDEX(H73:N73,$B$1))*$B$1/COUNTIF(H73:INDEX(H73:N73,$B$1),"&gt;0"))*
IF($B$1-COUNTIF(H73:INDEX(H73:N73,$B$1),"&gt;0")&lt;=2,1,
IF($B$1-COUNTIF(H73:INDEX(H73:N73,$B$1),"&gt;0")=3,0.8,
IF($B$1-COUNTIF(H73:INDEX(H73:N73,$B$1),"&gt;0")=4,0.6,0))))</f>
        <v>118</v>
      </c>
      <c r="H73" s="3">
        <v>14</v>
      </c>
      <c r="I73" s="3">
        <v>15</v>
      </c>
      <c r="J73" s="3">
        <v>29</v>
      </c>
      <c r="K73" s="3">
        <v>36</v>
      </c>
      <c r="L73" s="3">
        <v>24</v>
      </c>
      <c r="M73" s="3"/>
      <c r="N73" s="3"/>
      <c r="O73" s="10">
        <f>0.2*IF(COUNTIF(P73:INDEX(P73:V73,$B$1),"&gt;0")=0,0,
(SUMIF(P73:INDEX(P73:V73,$B$1),"&gt;0",P73:INDEX(P73:V73,$B$1))*$B$1/COUNTIF(P73:INDEX(P73:V73,$B$1),"&gt;0"))*
IF($B$1-COUNTIF(P73:INDEX(P73:V73,$B$1),"&gt;0")&lt;=2,1,
IF($B$1-COUNTIF(P73:INDEX(P73:V73,$B$1),"&gt;0")=3,0.8,
IF($B$1-COUNTIF(P73:INDEX(P73:V73,$B$1),"&gt;0")=4,0.6,0))))</f>
        <v>34.4</v>
      </c>
      <c r="P73" s="3">
        <v>32</v>
      </c>
      <c r="Q73" s="3">
        <v>27</v>
      </c>
      <c r="R73" s="3">
        <v>40</v>
      </c>
      <c r="S73" s="3">
        <v>38</v>
      </c>
      <c r="T73" s="3">
        <v>35</v>
      </c>
      <c r="U73" s="3"/>
      <c r="V73" s="3"/>
      <c r="W73" s="3">
        <f>MIN(100,
IF($B$1&gt;=1,IFERROR(VALUE(SUBSTITUTE(SUBSTITUTE(TRIM(X73),"A",""),"B","")),0),0)+
IF($B$1&gt;=2,IFERROR(VALUE(SUBSTITUTE(SUBSTITUTE(TRIM(Y73),"A",""),"B","")),0),0)+
IF($B$1&gt;=3,IFERROR(VALUE(SUBSTITUTE(SUBSTITUTE(TRIM(Z73),"A",""),"B","")),0),0)+
IF($B$1&gt;=4,IFERROR(VALUE(SUBSTITUTE(SUBSTITUTE(TRIM(AA73),"A",""),"B","")),0),0)+
IF($B$1&gt;=5,IFERROR(VALUE(SUBSTITUTE(SUBSTITUTE(TRIM(AB73),"A",""),"B","")),0),0)+
IF($B$1&gt;=6,IFERROR(VALUE(SUBSTITUTE(SUBSTITUTE(TRIM(AC73),"A",""),"B","")),0),0)+
IF($B$1&gt;=7,IFERROR(VALUE(SUBSTITUTE(SUBSTITUTE(TRIM(AD73),"A",""),"B","")),0),0)
)</f>
        <v>0</v>
      </c>
      <c r="X73" s="3"/>
      <c r="Y73" s="3"/>
      <c r="Z73" s="3"/>
      <c r="AA73" s="3"/>
      <c r="AB73" s="3"/>
      <c r="AC73" s="3"/>
      <c r="AD73" s="3"/>
      <c r="AE73" s="19">
        <f>AH73+AK73+AN73+AQ73+AT73+AW73+AZ73</f>
        <v>0</v>
      </c>
      <c r="AF73" s="10"/>
      <c r="AG73" s="10">
        <f>SQRT(AF73)</f>
        <v>0</v>
      </c>
      <c r="AH73" s="10">
        <f>IF(AG73&gt;0,AG73/AG$6*1000, 0)</f>
        <v>0</v>
      </c>
      <c r="AI73" s="10"/>
      <c r="AJ73" s="10">
        <f>SQRT(AI73)</f>
        <v>0</v>
      </c>
      <c r="AK73" s="10">
        <f>IF(AJ73&gt;0,AJ73/AJ$6*1000, 0)</f>
        <v>0</v>
      </c>
      <c r="AL73" s="10"/>
      <c r="AM73" s="10">
        <f>SQRT(AL73)</f>
        <v>0</v>
      </c>
      <c r="AN73" s="10">
        <f>IF(AM73&gt;0,AM73/AM$6*1000, 0)</f>
        <v>0</v>
      </c>
      <c r="AO73" s="10"/>
      <c r="AP73" s="10"/>
      <c r="AQ73" s="10"/>
      <c r="AR73" s="10"/>
      <c r="AS73" s="10"/>
      <c r="AT73" s="10"/>
      <c r="AU73" s="10"/>
      <c r="AV73" s="10"/>
      <c r="AW73" s="10"/>
      <c r="AX73" s="17"/>
      <c r="AY73" s="10">
        <f>SQRT(AX73)</f>
        <v>0</v>
      </c>
      <c r="AZ73" s="21">
        <f>IF(AY73&gt;0, AY73/AY$6*1000, 0)</f>
        <v>0</v>
      </c>
      <c r="BA73" s="16">
        <v>7.0000000000000007E-2</v>
      </c>
      <c r="BB73" s="15">
        <f>SQRT(BA73)</f>
        <v>0.26457513110645908</v>
      </c>
      <c r="BC73" s="10">
        <f>IF(BB73&gt;0, BB73/BB$6*10000, 0)</f>
        <v>70.865158834192954</v>
      </c>
      <c r="BD73" s="10"/>
      <c r="BE73" s="10"/>
      <c r="BF73" s="10"/>
      <c r="BG73" s="17">
        <v>5</v>
      </c>
      <c r="BH73" s="40">
        <f>IF(BG73&gt;0, BG73/BG$6*2000, 0)</f>
        <v>18.726591760299627</v>
      </c>
      <c r="BI73" s="17"/>
      <c r="BJ73" s="17"/>
      <c r="BK73" s="3"/>
      <c r="BL73" s="1"/>
      <c r="BM73" s="1"/>
      <c r="BN73" s="1"/>
    </row>
    <row r="74" spans="1:85" s="4" customFormat="1" ht="20.100000000000001" customHeight="1" x14ac:dyDescent="0.25">
      <c r="A74" s="1"/>
      <c r="B74" s="1">
        <v>80</v>
      </c>
      <c r="C74" s="26">
        <v>68</v>
      </c>
      <c r="D74" s="1" t="str">
        <f>IF(C74&lt;B74,"▲"&amp;B74-C74,IF(C74&gt;B74,"▼"&amp;C74-B74,"—"))</f>
        <v>▲12</v>
      </c>
      <c r="E74" s="2" t="s">
        <v>71</v>
      </c>
      <c r="F74" s="27">
        <f>G74+O74+W74+AE74+BC74+BH74</f>
        <v>235.66365237436145</v>
      </c>
      <c r="G74" s="12">
        <f>IF(COUNTIF(H74:INDEX(H74:N74,$B$1),"&gt;0")=0,0,
(SUMIF(H74:INDEX(H74:N74,$B$1),"&gt;0",H74:INDEX(H74:N74,$B$1))*$B$1/COUNTIF(H74:INDEX(H74:N74,$B$1),"&gt;0"))*
IF($B$1-COUNTIF(H74:INDEX(H74:N74,$B$1),"&gt;0")&lt;=2,1,
IF($B$1-COUNTIF(H74:INDEX(H74:N74,$B$1),"&gt;0")=3,0.8,
IF($B$1-COUNTIF(H74:INDEX(H74:N74,$B$1),"&gt;0")=4,0.6,0))))</f>
        <v>141</v>
      </c>
      <c r="H74" s="3">
        <v>45</v>
      </c>
      <c r="I74" s="3">
        <v>34</v>
      </c>
      <c r="J74" s="3">
        <v>38</v>
      </c>
      <c r="K74" s="3">
        <v>11</v>
      </c>
      <c r="L74" s="3">
        <v>13</v>
      </c>
      <c r="M74" s="3"/>
      <c r="N74" s="3"/>
      <c r="O74" s="10">
        <f>0.2*IF(COUNTIF(P74:INDEX(P74:V74,$B$1),"&gt;0")=0,0,
(SUMIF(P74:INDEX(P74:V74,$B$1),"&gt;0",P74:INDEX(P74:V74,$B$1))*$B$1/COUNTIF(P74:INDEX(P74:V74,$B$1),"&gt;0"))*
IF($B$1-COUNTIF(P74:INDEX(P74:V74,$B$1),"&gt;0")&lt;=2,1,
IF($B$1-COUNTIF(P74:INDEX(P74:V74,$B$1),"&gt;0")=3,0.8,
IF($B$1-COUNTIF(P74:INDEX(P74:V74,$B$1),"&gt;0")=4,0.6,0))))</f>
        <v>42.2</v>
      </c>
      <c r="P74" s="3">
        <v>61</v>
      </c>
      <c r="Q74" s="3">
        <v>37</v>
      </c>
      <c r="R74" s="3">
        <v>53</v>
      </c>
      <c r="S74" s="3">
        <v>36</v>
      </c>
      <c r="T74" s="3">
        <v>24</v>
      </c>
      <c r="U74" s="3"/>
      <c r="V74" s="3"/>
      <c r="W74" s="3">
        <f>MIN(100,
IF($B$1&gt;=1,IFERROR(VALUE(SUBSTITUTE(SUBSTITUTE(TRIM(X74),"A",""),"B","")),0),0)+
IF($B$1&gt;=2,IFERROR(VALUE(SUBSTITUTE(SUBSTITUTE(TRIM(Y74),"A",""),"B","")),0),0)+
IF($B$1&gt;=3,IFERROR(VALUE(SUBSTITUTE(SUBSTITUTE(TRIM(Z74),"A",""),"B","")),0),0)+
IF($B$1&gt;=4,IFERROR(VALUE(SUBSTITUTE(SUBSTITUTE(TRIM(AA74),"A",""),"B","")),0),0)+
IF($B$1&gt;=5,IFERROR(VALUE(SUBSTITUTE(SUBSTITUTE(TRIM(AB74),"A",""),"B","")),0),0)+
IF($B$1&gt;=6,IFERROR(VALUE(SUBSTITUTE(SUBSTITUTE(TRIM(AC74),"A",""),"B","")),0),0)+
IF($B$1&gt;=7,IFERROR(VALUE(SUBSTITUTE(SUBSTITUTE(TRIM(AD74),"A",""),"B","")),0),0)
)</f>
        <v>0</v>
      </c>
      <c r="X74" s="3"/>
      <c r="Y74" s="3"/>
      <c r="Z74" s="3"/>
      <c r="AA74" s="3"/>
      <c r="AB74" s="3"/>
      <c r="AC74" s="3"/>
      <c r="AD74" s="3"/>
      <c r="AE74" s="19">
        <f>AH74+AK74+AN74+AQ74+AT74+AW74+AZ74</f>
        <v>6.0715160182532335</v>
      </c>
      <c r="AF74" s="10"/>
      <c r="AG74" s="10">
        <f>SQRT(AF74)</f>
        <v>0</v>
      </c>
      <c r="AH74" s="10">
        <f>IF(AG74&gt;0,AG74/AG$6*1000, 0)</f>
        <v>0</v>
      </c>
      <c r="AI74" s="10"/>
      <c r="AJ74" s="10">
        <f>SQRT(AI74)</f>
        <v>0</v>
      </c>
      <c r="AK74" s="10">
        <f>IF(AJ74&gt;0,AJ74/AJ$6*1000, 0)</f>
        <v>0</v>
      </c>
      <c r="AL74" s="10"/>
      <c r="AM74" s="10">
        <f>SQRT(AL74)</f>
        <v>0</v>
      </c>
      <c r="AN74" s="10">
        <f>IF(AM74&gt;0,AM74/AM$6*1000, 0)</f>
        <v>0</v>
      </c>
      <c r="AO74" s="10"/>
      <c r="AP74" s="10"/>
      <c r="AQ74" s="10"/>
      <c r="AR74" s="10"/>
      <c r="AS74" s="10"/>
      <c r="AT74" s="10"/>
      <c r="AU74" s="10"/>
      <c r="AV74" s="10"/>
      <c r="AW74" s="10"/>
      <c r="AX74" s="17">
        <v>3</v>
      </c>
      <c r="AY74" s="10">
        <f>SQRT(AX74)</f>
        <v>1.7320508075688772</v>
      </c>
      <c r="AZ74" s="21">
        <f>IF(AY74&gt;0, AY74/AY$6*1000, 0)</f>
        <v>6.0715160182532335</v>
      </c>
      <c r="BA74" s="16">
        <v>0.03</v>
      </c>
      <c r="BB74" s="15">
        <f>SQRT(BA74)</f>
        <v>0.17320508075688773</v>
      </c>
      <c r="BC74" s="10">
        <f>IF(BB74&gt;0, BB74/BB$6*10000, 0)</f>
        <v>46.392136356108246</v>
      </c>
      <c r="BD74" s="10"/>
      <c r="BE74" s="10"/>
      <c r="BF74" s="10"/>
      <c r="BG74" s="17"/>
      <c r="BH74" s="40">
        <f>IF(BG74&gt;0, BG74/BG$6*2000, 0)</f>
        <v>0</v>
      </c>
      <c r="BI74" s="17"/>
      <c r="BJ74" s="17"/>
      <c r="BK74" s="3"/>
      <c r="BL74" s="1"/>
      <c r="BM74" s="1"/>
      <c r="BN74" s="1"/>
    </row>
    <row r="75" spans="1:85" s="4" customFormat="1" ht="20.100000000000001" customHeight="1" x14ac:dyDescent="0.25">
      <c r="A75" s="1"/>
      <c r="B75" s="1">
        <v>56</v>
      </c>
      <c r="C75" s="26">
        <v>69</v>
      </c>
      <c r="D75" s="1" t="str">
        <f>IF(C75&lt;B75,"▲"&amp;B75-C75,IF(C75&gt;B75,"▼"&amp;C75-B75,"—"))</f>
        <v>▼13</v>
      </c>
      <c r="E75" s="2" t="s">
        <v>86</v>
      </c>
      <c r="F75" s="27">
        <f>G75+O75+W75+AE75+BC75+BH75</f>
        <v>231.33745470816814</v>
      </c>
      <c r="G75" s="12">
        <f>IF(COUNTIF(H75:INDEX(H75:N75,$B$1),"&gt;0")=0,0,
(SUMIF(H75:INDEX(H75:N75,$B$1),"&gt;0",H75:INDEX(H75:N75,$B$1))*$B$1/COUNTIF(H75:INDEX(H75:N75,$B$1),"&gt;0"))*
IF($B$1-COUNTIF(H75:INDEX(H75:N75,$B$1),"&gt;0")&lt;=2,1,
IF($B$1-COUNTIF(H75:INDEX(H75:N75,$B$1),"&gt;0")=3,0.8,
IF($B$1-COUNTIF(H75:INDEX(H75:N75,$B$1),"&gt;0")=4,0.6,0))))</f>
        <v>151</v>
      </c>
      <c r="H75" s="3">
        <v>22</v>
      </c>
      <c r="I75" s="3">
        <v>24</v>
      </c>
      <c r="J75" s="3">
        <v>32</v>
      </c>
      <c r="K75" s="3">
        <v>46</v>
      </c>
      <c r="L75" s="3">
        <v>27</v>
      </c>
      <c r="M75" s="3"/>
      <c r="N75" s="3"/>
      <c r="O75" s="10">
        <f>0.2*IF(COUNTIF(P75:INDEX(P75:V75,$B$1),"&gt;0")=0,0,
(SUMIF(P75:INDEX(P75:V75,$B$1),"&gt;0",P75:INDEX(P75:V75,$B$1))*$B$1/COUNTIF(P75:INDEX(P75:V75,$B$1),"&gt;0"))*
IF($B$1-COUNTIF(P75:INDEX(P75:V75,$B$1),"&gt;0")&lt;=2,1,
IF($B$1-COUNTIF(P75:INDEX(P75:V75,$B$1),"&gt;0")=3,0.8,
IF($B$1-COUNTIF(P75:INDEX(P75:V75,$B$1),"&gt;0")=4,0.6,0))))</f>
        <v>30.200000000000003</v>
      </c>
      <c r="P75" s="3">
        <v>33</v>
      </c>
      <c r="Q75" s="3">
        <v>28</v>
      </c>
      <c r="R75" s="3">
        <v>35</v>
      </c>
      <c r="S75" s="3">
        <v>25</v>
      </c>
      <c r="T75" s="3">
        <v>30</v>
      </c>
      <c r="U75" s="3"/>
      <c r="V75" s="3"/>
      <c r="W75" s="3">
        <f>MIN(100,
IF($B$1&gt;=1,IFERROR(VALUE(SUBSTITUTE(SUBSTITUTE(TRIM(X75),"A",""),"B","")),0),0)+
IF($B$1&gt;=2,IFERROR(VALUE(SUBSTITUTE(SUBSTITUTE(TRIM(Y75),"A",""),"B","")),0),0)+
IF($B$1&gt;=3,IFERROR(VALUE(SUBSTITUTE(SUBSTITUTE(TRIM(Z75),"A",""),"B","")),0),0)+
IF($B$1&gt;=4,IFERROR(VALUE(SUBSTITUTE(SUBSTITUTE(TRIM(AA75),"A",""),"B","")),0),0)+
IF($B$1&gt;=5,IFERROR(VALUE(SUBSTITUTE(SUBSTITUTE(TRIM(AB75),"A",""),"B","")),0),0)+
IF($B$1&gt;=6,IFERROR(VALUE(SUBSTITUTE(SUBSTITUTE(TRIM(AC75),"A",""),"B","")),0),0)+
IF($B$1&gt;=7,IFERROR(VALUE(SUBSTITUTE(SUBSTITUTE(TRIM(AD75),"A",""),"B","")),0),0)
)</f>
        <v>0</v>
      </c>
      <c r="X75" s="3"/>
      <c r="Y75" s="3"/>
      <c r="Z75" s="3"/>
      <c r="AA75" s="3"/>
      <c r="AB75" s="3"/>
      <c r="AC75" s="3"/>
      <c r="AD75" s="3"/>
      <c r="AE75" s="19">
        <f>AH75+AK75+AN75+AQ75+AT75+AW75+AZ75</f>
        <v>0</v>
      </c>
      <c r="AF75" s="10"/>
      <c r="AG75" s="10">
        <f>SQRT(AF75)</f>
        <v>0</v>
      </c>
      <c r="AH75" s="10">
        <f>IF(AG75&gt;0,AG75/AG$6*1000, 0)</f>
        <v>0</v>
      </c>
      <c r="AI75" s="10"/>
      <c r="AJ75" s="10">
        <f>SQRT(AI75)</f>
        <v>0</v>
      </c>
      <c r="AK75" s="10">
        <f>IF(AJ75&gt;0,AJ75/AJ$6*1000, 0)</f>
        <v>0</v>
      </c>
      <c r="AL75" s="10"/>
      <c r="AM75" s="10">
        <f>SQRT(AL75)</f>
        <v>0</v>
      </c>
      <c r="AN75" s="10">
        <f>IF(AM75&gt;0,AM75/AM$6*1000, 0)</f>
        <v>0</v>
      </c>
      <c r="AO75" s="10"/>
      <c r="AP75" s="10"/>
      <c r="AQ75" s="10"/>
      <c r="AR75" s="10"/>
      <c r="AS75" s="10"/>
      <c r="AT75" s="10"/>
      <c r="AU75" s="10"/>
      <c r="AV75" s="10"/>
      <c r="AW75" s="10"/>
      <c r="AX75" s="17"/>
      <c r="AY75" s="10">
        <f>SQRT(AX75)</f>
        <v>0</v>
      </c>
      <c r="AZ75" s="21">
        <f>IF(AY75&gt;0, AY75/AY$6*1000, 0)</f>
        <v>0</v>
      </c>
      <c r="BA75" s="16">
        <v>0.03</v>
      </c>
      <c r="BB75" s="15">
        <f>SQRT(BA75)</f>
        <v>0.17320508075688773</v>
      </c>
      <c r="BC75" s="10">
        <f>IF(BB75&gt;0, BB75/BB$6*10000, 0)</f>
        <v>46.392136356108246</v>
      </c>
      <c r="BD75" s="10"/>
      <c r="BE75" s="10"/>
      <c r="BF75" s="10"/>
      <c r="BG75" s="17">
        <v>1</v>
      </c>
      <c r="BH75" s="40">
        <f>IF(BG75&gt;0, BG75/BG$6*2000, 0)</f>
        <v>3.7453183520599249</v>
      </c>
      <c r="BI75" s="17"/>
      <c r="BJ75" s="17"/>
      <c r="BK75" s="3"/>
      <c r="BL75" s="1"/>
      <c r="BM75" s="1"/>
      <c r="BN75" s="1"/>
    </row>
    <row r="76" spans="1:85" s="4" customFormat="1" ht="20.100000000000001" customHeight="1" x14ac:dyDescent="0.25">
      <c r="A76" s="1"/>
      <c r="B76" s="1">
        <v>72</v>
      </c>
      <c r="C76" s="26">
        <v>70</v>
      </c>
      <c r="D76" s="1" t="str">
        <f>IF(C76&lt;B76,"▲"&amp;B76-C76,IF(C76&gt;B76,"▼"&amp;C76-B76,"—"))</f>
        <v>▲2</v>
      </c>
      <c r="E76" s="2" t="s">
        <v>79</v>
      </c>
      <c r="F76" s="27">
        <f>G76+O76+W76+AE76+BC76+BH76</f>
        <v>230.39213635610824</v>
      </c>
      <c r="G76" s="12">
        <f>IF(COUNTIF(H76:INDEX(H76:N76,$B$1),"&gt;0")=0,0,
(SUMIF(H76:INDEX(H76:N76,$B$1),"&gt;0",H76:INDEX(H76:N76,$B$1))*$B$1/COUNTIF(H76:INDEX(H76:N76,$B$1),"&gt;0"))*
IF($B$1-COUNTIF(H76:INDEX(H76:N76,$B$1),"&gt;0")&lt;=2,1,
IF($B$1-COUNTIF(H76:INDEX(H76:N76,$B$1),"&gt;0")=3,0.8,
IF($B$1-COUNTIF(H76:INDEX(H76:N76,$B$1),"&gt;0")=4,0.6,0))))</f>
        <v>162</v>
      </c>
      <c r="H76" s="3">
        <v>34</v>
      </c>
      <c r="I76" s="3">
        <v>42</v>
      </c>
      <c r="J76" s="3">
        <v>37</v>
      </c>
      <c r="K76" s="3">
        <v>33</v>
      </c>
      <c r="L76" s="3">
        <v>16</v>
      </c>
      <c r="M76" s="3"/>
      <c r="N76" s="3"/>
      <c r="O76" s="10">
        <f>0.2*IF(COUNTIF(P76:INDEX(P76:V76,$B$1),"&gt;0")=0,0,
(SUMIF(P76:INDEX(P76:V76,$B$1),"&gt;0",P76:INDEX(P76:V76,$B$1))*$B$1/COUNTIF(P76:INDEX(P76:V76,$B$1),"&gt;0"))*
IF($B$1-COUNTIF(P76:INDEX(P76:V76,$B$1),"&gt;0")&lt;=2,1,
IF($B$1-COUNTIF(P76:INDEX(P76:V76,$B$1),"&gt;0")=3,0.8,
IF($B$1-COUNTIF(P76:INDEX(P76:V76,$B$1),"&gt;0")=4,0.6,0))))</f>
        <v>22</v>
      </c>
      <c r="P76" s="3">
        <v>27</v>
      </c>
      <c r="Q76" s="3">
        <v>29</v>
      </c>
      <c r="R76" s="3">
        <v>23</v>
      </c>
      <c r="S76" s="3">
        <v>22</v>
      </c>
      <c r="T76" s="3">
        <v>9</v>
      </c>
      <c r="U76" s="3"/>
      <c r="V76" s="3"/>
      <c r="W76" s="3">
        <f>MIN(100,
IF($B$1&gt;=1,IFERROR(VALUE(SUBSTITUTE(SUBSTITUTE(TRIM(X76),"A",""),"B","")),0),0)+
IF($B$1&gt;=2,IFERROR(VALUE(SUBSTITUTE(SUBSTITUTE(TRIM(Y76),"A",""),"B","")),0),0)+
IF($B$1&gt;=3,IFERROR(VALUE(SUBSTITUTE(SUBSTITUTE(TRIM(Z76),"A",""),"B","")),0),0)+
IF($B$1&gt;=4,IFERROR(VALUE(SUBSTITUTE(SUBSTITUTE(TRIM(AA76),"A",""),"B","")),0),0)+
IF($B$1&gt;=5,IFERROR(VALUE(SUBSTITUTE(SUBSTITUTE(TRIM(AB76),"A",""),"B","")),0),0)+
IF($B$1&gt;=6,IFERROR(VALUE(SUBSTITUTE(SUBSTITUTE(TRIM(AC76),"A",""),"B","")),0),0)+
IF($B$1&gt;=7,IFERROR(VALUE(SUBSTITUTE(SUBSTITUTE(TRIM(AD76),"A",""),"B","")),0),0)
)</f>
        <v>0</v>
      </c>
      <c r="X76" s="3"/>
      <c r="Y76" s="3"/>
      <c r="Z76" s="3"/>
      <c r="AA76" s="3"/>
      <c r="AB76" s="3"/>
      <c r="AC76" s="3"/>
      <c r="AD76" s="3"/>
      <c r="AE76" s="19">
        <f>AH76+AK76+AN76+AQ76+AT76+AW76+AZ76</f>
        <v>0</v>
      </c>
      <c r="AF76" s="10"/>
      <c r="AG76" s="10">
        <f>SQRT(AF76)</f>
        <v>0</v>
      </c>
      <c r="AH76" s="10">
        <f>IF(AG76&gt;0,AG76/AG$6*1000, 0)</f>
        <v>0</v>
      </c>
      <c r="AI76" s="10"/>
      <c r="AJ76" s="10">
        <f>SQRT(AI76)</f>
        <v>0</v>
      </c>
      <c r="AK76" s="10">
        <f>IF(AJ76&gt;0,AJ76/AJ$6*1000, 0)</f>
        <v>0</v>
      </c>
      <c r="AL76" s="10"/>
      <c r="AM76" s="10">
        <f>SQRT(AL76)</f>
        <v>0</v>
      </c>
      <c r="AN76" s="10">
        <f>IF(AM76&gt;0,AM76/AM$6*1000, 0)</f>
        <v>0</v>
      </c>
      <c r="AO76" s="10"/>
      <c r="AP76" s="10"/>
      <c r="AQ76" s="10"/>
      <c r="AR76" s="10"/>
      <c r="AS76" s="10"/>
      <c r="AT76" s="10"/>
      <c r="AU76" s="10"/>
      <c r="AV76" s="10"/>
      <c r="AW76" s="10"/>
      <c r="AX76" s="17"/>
      <c r="AY76" s="10">
        <f>SQRT(AX76)</f>
        <v>0</v>
      </c>
      <c r="AZ76" s="21">
        <f>IF(AY76&gt;0, AY76/AY$6*1000, 0)</f>
        <v>0</v>
      </c>
      <c r="BA76" s="16">
        <v>0.03</v>
      </c>
      <c r="BB76" s="15">
        <f>SQRT(BA76)</f>
        <v>0.17320508075688773</v>
      </c>
      <c r="BC76" s="10">
        <f>IF(BB76&gt;0, BB76/BB$6*10000, 0)</f>
        <v>46.392136356108246</v>
      </c>
      <c r="BD76" s="10"/>
      <c r="BE76" s="10"/>
      <c r="BF76" s="10"/>
      <c r="BG76" s="17"/>
      <c r="BH76" s="40">
        <f>IF(BG76&gt;0, BG76/BG$6*2000, 0)</f>
        <v>0</v>
      </c>
      <c r="BI76" s="17"/>
      <c r="BJ76" s="17"/>
      <c r="BK76" s="3"/>
      <c r="BL76" s="1"/>
      <c r="BM76" s="1"/>
      <c r="BN76" s="1"/>
    </row>
    <row r="77" spans="1:85" s="4" customFormat="1" ht="20.100000000000001" customHeight="1" x14ac:dyDescent="0.25">
      <c r="A77" s="1"/>
      <c r="B77" s="1">
        <v>64</v>
      </c>
      <c r="C77" s="26">
        <v>71</v>
      </c>
      <c r="D77" s="1" t="str">
        <f>IF(C77&lt;B77,"▲"&amp;B77-C77,IF(C77&gt;B77,"▼"&amp;C77-B77,"—"))</f>
        <v>▼7</v>
      </c>
      <c r="E77" s="2" t="s">
        <v>89</v>
      </c>
      <c r="F77" s="27">
        <f>G77+O77+W77+AE77+BC77+BH77</f>
        <v>214.40838842227024</v>
      </c>
      <c r="G77" s="12">
        <f>IF(COUNTIF(H77:INDEX(H77:N77,$B$1),"&gt;0")=0,0,
(SUMIF(H77:INDEX(H77:N77,$B$1),"&gt;0",H77:INDEX(H77:N77,$B$1))*$B$1/COUNTIF(H77:INDEX(H77:N77,$B$1),"&gt;0"))*
IF($B$1-COUNTIF(H77:INDEX(H77:N77,$B$1),"&gt;0")&lt;=2,1,
IF($B$1-COUNTIF(H77:INDEX(H77:N77,$B$1),"&gt;0")=3,0.8,
IF($B$1-COUNTIF(H77:INDEX(H77:N77,$B$1),"&gt;0")=4,0.6,0))))</f>
        <v>105</v>
      </c>
      <c r="H77" s="3">
        <v>21</v>
      </c>
      <c r="I77" s="3">
        <v>18</v>
      </c>
      <c r="J77" s="3">
        <v>21</v>
      </c>
      <c r="K77" s="3">
        <v>21</v>
      </c>
      <c r="L77" s="3">
        <v>24</v>
      </c>
      <c r="M77" s="3"/>
      <c r="N77" s="3"/>
      <c r="O77" s="10">
        <f>0.2*IF(COUNTIF(P77:INDEX(P77:V77,$B$1),"&gt;0")=0,0,
(SUMIF(P77:INDEX(P77:V77,$B$1),"&gt;0",P77:INDEX(P77:V77,$B$1))*$B$1/COUNTIF(P77:INDEX(P77:V77,$B$1),"&gt;0"))*
IF($B$1-COUNTIF(P77:INDEX(P77:V77,$B$1),"&gt;0")&lt;=2,1,
IF($B$1-COUNTIF(P77:INDEX(P77:V77,$B$1),"&gt;0")=3,0.8,
IF($B$1-COUNTIF(P77:INDEX(P77:V77,$B$1),"&gt;0")=4,0.6,0))))</f>
        <v>43.800000000000004</v>
      </c>
      <c r="P77" s="3">
        <v>49</v>
      </c>
      <c r="Q77" s="3">
        <v>36</v>
      </c>
      <c r="R77" s="3">
        <v>47</v>
      </c>
      <c r="S77" s="3">
        <v>43</v>
      </c>
      <c r="T77" s="3">
        <v>44</v>
      </c>
      <c r="U77" s="3"/>
      <c r="V77" s="3"/>
      <c r="W77" s="3">
        <f>MIN(100,
IF($B$1&gt;=1,IFERROR(VALUE(SUBSTITUTE(SUBSTITUTE(TRIM(X77),"A",""),"B","")),0),0)+
IF($B$1&gt;=2,IFERROR(VALUE(SUBSTITUTE(SUBSTITUTE(TRIM(Y77),"A",""),"B","")),0),0)+
IF($B$1&gt;=3,IFERROR(VALUE(SUBSTITUTE(SUBSTITUTE(TRIM(Z77),"A",""),"B","")),0),0)+
IF($B$1&gt;=4,IFERROR(VALUE(SUBSTITUTE(SUBSTITUTE(TRIM(AA77),"A",""),"B","")),0),0)+
IF($B$1&gt;=5,IFERROR(VALUE(SUBSTITUTE(SUBSTITUTE(TRIM(AB77),"A",""),"B","")),0),0)+
IF($B$1&gt;=6,IFERROR(VALUE(SUBSTITUTE(SUBSTITUTE(TRIM(AC77),"A",""),"B","")),0),0)+
IF($B$1&gt;=7,IFERROR(VALUE(SUBSTITUTE(SUBSTITUTE(TRIM(AD77),"A",""),"B","")),0),0)
)</f>
        <v>0</v>
      </c>
      <c r="X77" s="3"/>
      <c r="Y77" s="3"/>
      <c r="Z77" s="3"/>
      <c r="AA77" s="3"/>
      <c r="AB77" s="3"/>
      <c r="AC77" s="3"/>
      <c r="AD77" s="3"/>
      <c r="AE77" s="19">
        <f>AH77+AK77+AN77+AQ77+AT77+AW77+AZ77</f>
        <v>0</v>
      </c>
      <c r="AF77" s="10"/>
      <c r="AG77" s="10">
        <f>SQRT(AF77)</f>
        <v>0</v>
      </c>
      <c r="AH77" s="10">
        <f>IF(AG77&gt;0,AG77/AG$6*1000, 0)</f>
        <v>0</v>
      </c>
      <c r="AI77" s="10"/>
      <c r="AJ77" s="10">
        <f>SQRT(AI77)</f>
        <v>0</v>
      </c>
      <c r="AK77" s="10">
        <f>IF(AJ77&gt;0,AJ77/AJ$6*1000, 0)</f>
        <v>0</v>
      </c>
      <c r="AL77" s="10"/>
      <c r="AM77" s="10">
        <f>SQRT(AL77)</f>
        <v>0</v>
      </c>
      <c r="AN77" s="10">
        <f>IF(AM77&gt;0,AM77/AM$6*1000, 0)</f>
        <v>0</v>
      </c>
      <c r="AO77" s="10"/>
      <c r="AP77" s="10"/>
      <c r="AQ77" s="10"/>
      <c r="AR77" s="10"/>
      <c r="AS77" s="10"/>
      <c r="AT77" s="10"/>
      <c r="AU77" s="10"/>
      <c r="AV77" s="10"/>
      <c r="AW77" s="10"/>
      <c r="AX77" s="17"/>
      <c r="AY77" s="10">
        <f>SQRT(AX77)</f>
        <v>0</v>
      </c>
      <c r="AZ77" s="21">
        <f>IF(AY77&gt;0, AY77/AY$6*1000, 0)</f>
        <v>0</v>
      </c>
      <c r="BA77" s="16">
        <v>0.06</v>
      </c>
      <c r="BB77" s="15">
        <f>SQRT(BA77)</f>
        <v>0.2449489742783178</v>
      </c>
      <c r="BC77" s="10">
        <f>IF(BB77&gt;0, BB77/BB$6*10000, 0)</f>
        <v>65.608388422270224</v>
      </c>
      <c r="BD77" s="10"/>
      <c r="BE77" s="10"/>
      <c r="BF77" s="10"/>
      <c r="BG77" s="17"/>
      <c r="BH77" s="40">
        <f>IF(BG77&gt;0, BG77/BG$6*2000, 0)</f>
        <v>0</v>
      </c>
      <c r="BI77" s="17"/>
      <c r="BJ77" s="17"/>
      <c r="BK77" s="3"/>
      <c r="BL77" s="1"/>
      <c r="BM77" s="1"/>
      <c r="BN77" s="1"/>
    </row>
    <row r="78" spans="1:85" ht="20.100000000000001" customHeight="1" x14ac:dyDescent="0.25">
      <c r="B78" s="1">
        <v>75</v>
      </c>
      <c r="C78" s="26">
        <v>72</v>
      </c>
      <c r="D78" s="1" t="str">
        <f>IF(C78&lt;B78,"▲"&amp;B78-C78,IF(C78&gt;B78,"▼"&amp;C78-B78,"—"))</f>
        <v>▲3</v>
      </c>
      <c r="E78" s="2" t="s">
        <v>80</v>
      </c>
      <c r="F78" s="27">
        <f>G78+O78+W78+AE78+BC78+BH78</f>
        <v>210.27902071669524</v>
      </c>
      <c r="G78" s="12">
        <f>IF(COUNTIF(H78:INDEX(H78:N78,$B$1),"&gt;0")=0,0,
(SUMIF(H78:INDEX(H78:N78,$B$1),"&gt;0",H78:INDEX(H78:N78,$B$1))*$B$1/COUNTIF(H78:INDEX(H78:N78,$B$1),"&gt;0"))*
IF($B$1-COUNTIF(H78:INDEX(H78:N78,$B$1),"&gt;0")&lt;=2,1,
IF($B$1-COUNTIF(H78:INDEX(H78:N78,$B$1),"&gt;0")=3,0.8,
IF($B$1-COUNTIF(H78:INDEX(H78:N78,$B$1),"&gt;0")=4,0.6,0))))</f>
        <v>148</v>
      </c>
      <c r="H78" s="3">
        <v>27</v>
      </c>
      <c r="I78" s="3">
        <v>44</v>
      </c>
      <c r="J78" s="3">
        <v>27</v>
      </c>
      <c r="K78" s="3">
        <v>25</v>
      </c>
      <c r="L78" s="3">
        <v>25</v>
      </c>
      <c r="M78" s="3"/>
      <c r="N78" s="3"/>
      <c r="O78" s="10">
        <f>0.2*IF(COUNTIF(P78:INDEX(P78:V78,$B$1),"&gt;0")=0,0,
(SUMIF(P78:INDEX(P78:V78,$B$1),"&gt;0",P78:INDEX(P78:V78,$B$1))*$B$1/COUNTIF(P78:INDEX(P78:V78,$B$1),"&gt;0"))*
IF($B$1-COUNTIF(P78:INDEX(P78:V78,$B$1),"&gt;0")&lt;=2,1,
IF($B$1-COUNTIF(P78:INDEX(P78:V78,$B$1),"&gt;0")=3,0.8,
IF($B$1-COUNTIF(P78:INDEX(P78:V78,$B$1),"&gt;0")=4,0.6,0))))</f>
        <v>24.400000000000002</v>
      </c>
      <c r="P78" s="3">
        <v>34</v>
      </c>
      <c r="Q78" s="3">
        <v>23</v>
      </c>
      <c r="R78" s="3">
        <v>23</v>
      </c>
      <c r="S78" s="3">
        <v>19</v>
      </c>
      <c r="T78" s="3">
        <v>23</v>
      </c>
      <c r="W78" s="3">
        <f>MIN(100,
IF($B$1&gt;=1,IFERROR(VALUE(SUBSTITUTE(SUBSTITUTE(TRIM(X78),"A",""),"B","")),0),0)+
IF($B$1&gt;=2,IFERROR(VALUE(SUBSTITUTE(SUBSTITUTE(TRIM(Y78),"A",""),"B","")),0),0)+
IF($B$1&gt;=3,IFERROR(VALUE(SUBSTITUTE(SUBSTITUTE(TRIM(Z78),"A",""),"B","")),0),0)+
IF($B$1&gt;=4,IFERROR(VALUE(SUBSTITUTE(SUBSTITUTE(TRIM(AA78),"A",""),"B","")),0),0)+
IF($B$1&gt;=5,IFERROR(VALUE(SUBSTITUTE(SUBSTITUTE(TRIM(AB78),"A",""),"B","")),0),0)+
IF($B$1&gt;=6,IFERROR(VALUE(SUBSTITUTE(SUBSTITUTE(TRIM(AC78),"A",""),"B","")),0),0)+
IF($B$1&gt;=7,IFERROR(VALUE(SUBSTITUTE(SUBSTITUTE(TRIM(AD78),"A",""),"B","")),0),0)
)</f>
        <v>0</v>
      </c>
      <c r="X78" s="3"/>
      <c r="AE78" s="19">
        <f>AH78+AK78+AN78+AQ78+AT78+AW78+AZ78</f>
        <v>0</v>
      </c>
      <c r="AG78" s="10">
        <f>SQRT(AF78)</f>
        <v>0</v>
      </c>
      <c r="AH78" s="10">
        <f>IF(AG78&gt;0,AG78/AG$6*1000, 0)</f>
        <v>0</v>
      </c>
      <c r="AI78" s="10"/>
      <c r="AJ78" s="10">
        <f>SQRT(AI78)</f>
        <v>0</v>
      </c>
      <c r="AK78" s="10">
        <f>IF(AJ78&gt;0,AJ78/AJ$6*1000, 0)</f>
        <v>0</v>
      </c>
      <c r="AM78" s="10">
        <f>SQRT(AL78)</f>
        <v>0</v>
      </c>
      <c r="AN78" s="10">
        <f>IF(AM78&gt;0,AM78/AM$6*1000, 0)</f>
        <v>0</v>
      </c>
      <c r="AY78" s="10">
        <f>SQRT(AX78)</f>
        <v>0</v>
      </c>
      <c r="AZ78" s="21">
        <f>IF(AY78&gt;0, AY78/AY$6*1000, 0)</f>
        <v>0</v>
      </c>
      <c r="BA78" s="16">
        <v>0.02</v>
      </c>
      <c r="BB78" s="15">
        <f>SQRT(BA78)</f>
        <v>0.1414213562373095</v>
      </c>
      <c r="BC78" s="10">
        <f>IF(BB78&gt;0, BB78/BB$6*10000, 0)</f>
        <v>37.879020716695244</v>
      </c>
      <c r="BG78" s="17"/>
      <c r="BH78" s="40">
        <f>IF(BG78&gt;0, BG78/BG$6*2000, 0)</f>
        <v>0</v>
      </c>
      <c r="BJ78" s="17"/>
      <c r="BK78" s="3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20.100000000000001" customHeight="1" x14ac:dyDescent="0.25">
      <c r="B79" s="1">
        <v>65</v>
      </c>
      <c r="C79" s="26">
        <v>73</v>
      </c>
      <c r="D79" s="1" t="str">
        <f>IF(C79&lt;B79,"▲"&amp;B79-C79,IF(C79&gt;B79,"▼"&amp;C79-B79,"—"))</f>
        <v>▼8</v>
      </c>
      <c r="E79" s="2" t="s">
        <v>91</v>
      </c>
      <c r="F79" s="27">
        <f>G79+O79+W79+AE79+BC79+BH79</f>
        <v>206.43730885279021</v>
      </c>
      <c r="G79" s="12">
        <f>IF(COUNTIF(H79:INDEX(H79:N79,$B$1),"&gt;0")=0,0,
(SUMIF(H79:INDEX(H79:N79,$B$1),"&gt;0",H79:INDEX(H79:N79,$B$1))*$B$1/COUNTIF(H79:INDEX(H79:N79,$B$1),"&gt;0"))*
IF($B$1-COUNTIF(H79:INDEX(H79:N79,$B$1),"&gt;0")&lt;=2,1,
IF($B$1-COUNTIF(H79:INDEX(H79:N79,$B$1),"&gt;0")=3,0.8,
IF($B$1-COUNTIF(H79:INDEX(H79:N79,$B$1),"&gt;0")=4,0.6,0))))</f>
        <v>118</v>
      </c>
      <c r="H79" s="3">
        <v>30</v>
      </c>
      <c r="I79" s="3">
        <v>26</v>
      </c>
      <c r="J79" s="3">
        <v>10</v>
      </c>
      <c r="K79" s="3">
        <v>36</v>
      </c>
      <c r="L79" s="3">
        <v>16</v>
      </c>
      <c r="M79" s="3"/>
      <c r="N79" s="3"/>
      <c r="O79" s="10">
        <f>0.2*IF(COUNTIF(P79:INDEX(P79:V79,$B$1),"&gt;0")=0,0,
(SUMIF(P79:INDEX(P79:V79,$B$1),"&gt;0",P79:INDEX(P79:V79,$B$1))*$B$1/COUNTIF(P79:INDEX(P79:V79,$B$1),"&gt;0"))*
IF($B$1-COUNTIF(P79:INDEX(P79:V79,$B$1),"&gt;0")&lt;=2,1,
IF($B$1-COUNTIF(P79:INDEX(P79:V79,$B$1),"&gt;0")=3,0.8,
IF($B$1-COUNTIF(P79:INDEX(P79:V79,$B$1),"&gt;0")=4,0.6,0))))</f>
        <v>24.8</v>
      </c>
      <c r="P79" s="3">
        <v>28</v>
      </c>
      <c r="Q79" s="3">
        <v>19</v>
      </c>
      <c r="R79" s="3">
        <v>29</v>
      </c>
      <c r="S79" s="3">
        <v>28</v>
      </c>
      <c r="T79" s="3">
        <v>20</v>
      </c>
      <c r="W79" s="3">
        <f>MIN(100,
IF($B$1&gt;=1,IFERROR(VALUE(SUBSTITUTE(SUBSTITUTE(TRIM(X79),"A",""),"B","")),0),0)+
IF($B$1&gt;=2,IFERROR(VALUE(SUBSTITUTE(SUBSTITUTE(TRIM(Y79),"A",""),"B","")),0),0)+
IF($B$1&gt;=3,IFERROR(VALUE(SUBSTITUTE(SUBSTITUTE(TRIM(Z79),"A",""),"B","")),0),0)+
IF($B$1&gt;=4,IFERROR(VALUE(SUBSTITUTE(SUBSTITUTE(TRIM(AA79),"A",""),"B","")),0),0)+
IF($B$1&gt;=5,IFERROR(VALUE(SUBSTITUTE(SUBSTITUTE(TRIM(AB79),"A",""),"B","")),0),0)+
IF($B$1&gt;=6,IFERROR(VALUE(SUBSTITUTE(SUBSTITUTE(TRIM(AC79),"A",""),"B","")),0),0)+
IF($B$1&gt;=7,IFERROR(VALUE(SUBSTITUTE(SUBSTITUTE(TRIM(AD79),"A",""),"B","")),0),0)
)</f>
        <v>0</v>
      </c>
      <c r="X79" s="3"/>
      <c r="AE79" s="19">
        <f>AH79+AK79+AN79+AQ79+AT79+AW79+AZ79</f>
        <v>0</v>
      </c>
      <c r="AG79" s="10">
        <f>SQRT(AF79)</f>
        <v>0</v>
      </c>
      <c r="AH79" s="10">
        <f>IF(AG79&gt;0,AG79/AG$6*1000, 0)</f>
        <v>0</v>
      </c>
      <c r="AI79" s="10"/>
      <c r="AJ79" s="10">
        <f>SQRT(AI79)</f>
        <v>0</v>
      </c>
      <c r="AK79" s="10">
        <f>IF(AJ79&gt;0,AJ79/AJ$6*1000, 0)</f>
        <v>0</v>
      </c>
      <c r="AM79" s="10">
        <f>SQRT(AL79)</f>
        <v>0</v>
      </c>
      <c r="AN79" s="10">
        <f>IF(AM79&gt;0,AM79/AM$6*1000, 0)</f>
        <v>0</v>
      </c>
      <c r="AY79" s="10">
        <f>SQRT(AX79)</f>
        <v>0</v>
      </c>
      <c r="AZ79" s="21">
        <f>IF(AY79&gt;0, AY79/AY$6*1000, 0)</f>
        <v>0</v>
      </c>
      <c r="BA79" s="16">
        <v>0.05</v>
      </c>
      <c r="BB79" s="15">
        <f>SQRT(BA79)</f>
        <v>0.22360679774997896</v>
      </c>
      <c r="BC79" s="10">
        <f>IF(BB79&gt;0, BB79/BB$6*10000, 0)</f>
        <v>59.891990500730294</v>
      </c>
      <c r="BG79" s="17">
        <v>1</v>
      </c>
      <c r="BH79" s="40">
        <f>IF(BG79&gt;0, BG79/BG$6*2000, 0)</f>
        <v>3.7453183520599249</v>
      </c>
      <c r="BJ79" s="17"/>
      <c r="BK79" s="5"/>
      <c r="BL79" s="3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20.100000000000001" customHeight="1" x14ac:dyDescent="0.25">
      <c r="B80" s="1">
        <v>77</v>
      </c>
      <c r="C80" s="26">
        <v>74</v>
      </c>
      <c r="D80" s="1" t="str">
        <f>IF(C80&lt;B80,"▲"&amp;B80-C80,IF(C80&gt;B80,"▼"&amp;C80-B80,"—"))</f>
        <v>▲3</v>
      </c>
      <c r="E80" s="2" t="s">
        <v>88</v>
      </c>
      <c r="F80" s="27">
        <f>G80+O80+W80+AE80+BC80+BH80</f>
        <v>202.67902071669525</v>
      </c>
      <c r="G80" s="12">
        <f>IF(COUNTIF(H80:INDEX(H80:N80,$B$1),"&gt;0")=0,0,
(SUMIF(H80:INDEX(H80:N80,$B$1),"&gt;0",H80:INDEX(H80:N80,$B$1))*$B$1/COUNTIF(H80:INDEX(H80:N80,$B$1),"&gt;0"))*
IF($B$1-COUNTIF(H80:INDEX(H80:N80,$B$1),"&gt;0")&lt;=2,1,
IF($B$1-COUNTIF(H80:INDEX(H80:N80,$B$1),"&gt;0")=3,0.8,
IF($B$1-COUNTIF(H80:INDEX(H80:N80,$B$1),"&gt;0")=4,0.6,0))))</f>
        <v>137</v>
      </c>
      <c r="H80" s="3">
        <v>17</v>
      </c>
      <c r="I80" s="3">
        <v>43</v>
      </c>
      <c r="J80" s="3">
        <v>19</v>
      </c>
      <c r="K80" s="3">
        <v>40</v>
      </c>
      <c r="L80" s="3">
        <v>18</v>
      </c>
      <c r="M80" s="3"/>
      <c r="N80" s="3"/>
      <c r="O80" s="10">
        <f>0.2*IF(COUNTIF(P80:INDEX(P80:V80,$B$1),"&gt;0")=0,0,
(SUMIF(P80:INDEX(P80:V80,$B$1),"&gt;0",P80:INDEX(P80:V80,$B$1))*$B$1/COUNTIF(P80:INDEX(P80:V80,$B$1),"&gt;0"))*
IF($B$1-COUNTIF(P80:INDEX(P80:V80,$B$1),"&gt;0")&lt;=2,1,
IF($B$1-COUNTIF(P80:INDEX(P80:V80,$B$1),"&gt;0")=3,0.8,
IF($B$1-COUNTIF(P80:INDEX(P80:V80,$B$1),"&gt;0")=4,0.6,0))))</f>
        <v>27.8</v>
      </c>
      <c r="P80" s="3">
        <v>31</v>
      </c>
      <c r="Q80" s="3">
        <v>32</v>
      </c>
      <c r="R80" s="3">
        <v>27</v>
      </c>
      <c r="S80" s="3">
        <v>29</v>
      </c>
      <c r="T80" s="3">
        <v>20</v>
      </c>
      <c r="W80" s="3">
        <f>MIN(100,
IF($B$1&gt;=1,IFERROR(VALUE(SUBSTITUTE(SUBSTITUTE(TRIM(X80),"A",""),"B","")),0),0)+
IF($B$1&gt;=2,IFERROR(VALUE(SUBSTITUTE(SUBSTITUTE(TRIM(Y80),"A",""),"B","")),0),0)+
IF($B$1&gt;=3,IFERROR(VALUE(SUBSTITUTE(SUBSTITUTE(TRIM(Z80),"A",""),"B","")),0),0)+
IF($B$1&gt;=4,IFERROR(VALUE(SUBSTITUTE(SUBSTITUTE(TRIM(AA80),"A",""),"B","")),0),0)+
IF($B$1&gt;=5,IFERROR(VALUE(SUBSTITUTE(SUBSTITUTE(TRIM(AB80),"A",""),"B","")),0),0)+
IF($B$1&gt;=6,IFERROR(VALUE(SUBSTITUTE(SUBSTITUTE(TRIM(AC80),"A",""),"B","")),0),0)+
IF($B$1&gt;=7,IFERROR(VALUE(SUBSTITUTE(SUBSTITUTE(TRIM(AD80),"A",""),"B","")),0),0)
)</f>
        <v>0</v>
      </c>
      <c r="X80" s="3"/>
      <c r="AE80" s="19">
        <f>AH80+AK80+AN80+AQ80+AT80+AW80+AZ80</f>
        <v>0</v>
      </c>
      <c r="AG80" s="10">
        <f>SQRT(AF80)</f>
        <v>0</v>
      </c>
      <c r="AH80" s="10">
        <f>IF(AG80&gt;0,AG80/AG$6*1000, 0)</f>
        <v>0</v>
      </c>
      <c r="AI80" s="10"/>
      <c r="AJ80" s="10">
        <f>SQRT(AI80)</f>
        <v>0</v>
      </c>
      <c r="AK80" s="10">
        <f>IF(AJ80&gt;0,AJ80/AJ$6*1000, 0)</f>
        <v>0</v>
      </c>
      <c r="AM80" s="10">
        <f>SQRT(AL80)</f>
        <v>0</v>
      </c>
      <c r="AN80" s="10">
        <f>IF(AM80&gt;0,AM80/AM$6*1000, 0)</f>
        <v>0</v>
      </c>
      <c r="AY80" s="10">
        <f>SQRT(AX80)</f>
        <v>0</v>
      </c>
      <c r="AZ80" s="21">
        <f>IF(AY80&gt;0, AY80/AY$6*1000, 0)</f>
        <v>0</v>
      </c>
      <c r="BA80" s="16">
        <v>0.02</v>
      </c>
      <c r="BB80" s="15">
        <f>SQRT(BA80)</f>
        <v>0.1414213562373095</v>
      </c>
      <c r="BC80" s="10">
        <f>IF(BB80&gt;0, BB80/BB$6*10000, 0)</f>
        <v>37.879020716695244</v>
      </c>
      <c r="BG80" s="17"/>
      <c r="BH80" s="40">
        <f>IF(BG80&gt;0, BG80/BG$6*2000, 0)</f>
        <v>0</v>
      </c>
      <c r="BJ80" s="17"/>
      <c r="BK80" s="5"/>
      <c r="BL80" s="3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20.100000000000001" customHeight="1" x14ac:dyDescent="0.25">
      <c r="B81" s="1">
        <v>74</v>
      </c>
      <c r="C81" s="26">
        <v>75</v>
      </c>
      <c r="D81" s="1" t="str">
        <f>IF(C81&lt;B81,"▲"&amp;B81-C81,IF(C81&gt;B81,"▼"&amp;C81-B81,"—"))</f>
        <v>▼1</v>
      </c>
      <c r="E81" s="2" t="s">
        <v>81</v>
      </c>
      <c r="F81" s="27">
        <f>G81+O81+W81+AE81+BC81+BH81</f>
        <v>189.9845124134809</v>
      </c>
      <c r="G81" s="12">
        <f>IF(COUNTIF(H81:INDEX(H81:N81,$B$1),"&gt;0")=0,0,
(SUMIF(H81:INDEX(H81:N81,$B$1),"&gt;0",H81:INDEX(H81:N81,$B$1))*$B$1/COUNTIF(H81:INDEX(H81:N81,$B$1),"&gt;0"))*
IF($B$1-COUNTIF(H81:INDEX(H81:N81,$B$1),"&gt;0")&lt;=2,1,
IF($B$1-COUNTIF(H81:INDEX(H81:N81,$B$1),"&gt;0")=3,0.8,
IF($B$1-COUNTIF(H81:INDEX(H81:N81,$B$1),"&gt;0")=4,0.6,0))))</f>
        <v>123</v>
      </c>
      <c r="H81" s="3">
        <v>37</v>
      </c>
      <c r="I81" s="3">
        <v>21</v>
      </c>
      <c r="J81" s="3">
        <v>27</v>
      </c>
      <c r="K81" s="3">
        <v>19</v>
      </c>
      <c r="L81" s="3">
        <v>19</v>
      </c>
      <c r="M81" s="3"/>
      <c r="N81" s="3"/>
      <c r="O81" s="10">
        <f>0.2*IF(COUNTIF(P81:INDEX(P81:V81,$B$1),"&gt;0")=0,0,
(SUMIF(P81:INDEX(P81:V81,$B$1),"&gt;0",P81:INDEX(P81:V81,$B$1))*$B$1/COUNTIF(P81:INDEX(P81:V81,$B$1),"&gt;0"))*
IF($B$1-COUNTIF(P81:INDEX(P81:V81,$B$1),"&gt;0")&lt;=2,1,
IF($B$1-COUNTIF(P81:INDEX(P81:V81,$B$1),"&gt;0")=3,0.8,
IF($B$1-COUNTIF(P81:INDEX(P81:V81,$B$1),"&gt;0")=4,0.6,0))))</f>
        <v>40.200000000000003</v>
      </c>
      <c r="P81" s="3">
        <v>41</v>
      </c>
      <c r="Q81" s="3">
        <v>35</v>
      </c>
      <c r="R81" s="3">
        <v>39</v>
      </c>
      <c r="S81" s="3">
        <v>47</v>
      </c>
      <c r="T81" s="3">
        <v>39</v>
      </c>
      <c r="W81" s="3">
        <f>MIN(100,
IF($B$1&gt;=1,IFERROR(VALUE(SUBSTITUTE(SUBSTITUTE(TRIM(X81),"A",""),"B","")),0),0)+
IF($B$1&gt;=2,IFERROR(VALUE(SUBSTITUTE(SUBSTITUTE(TRIM(Y81),"A",""),"B","")),0),0)+
IF($B$1&gt;=3,IFERROR(VALUE(SUBSTITUTE(SUBSTITUTE(TRIM(Z81),"A",""),"B","")),0),0)+
IF($B$1&gt;=4,IFERROR(VALUE(SUBSTITUTE(SUBSTITUTE(TRIM(AA81),"A",""),"B","")),0),0)+
IF($B$1&gt;=5,IFERROR(VALUE(SUBSTITUTE(SUBSTITUTE(TRIM(AB81),"A",""),"B","")),0),0)+
IF($B$1&gt;=6,IFERROR(VALUE(SUBSTITUTE(SUBSTITUTE(TRIM(AC81),"A",""),"B","")),0),0)+
IF($B$1&gt;=7,IFERROR(VALUE(SUBSTITUTE(SUBSTITUTE(TRIM(AD81),"A",""),"B","")),0),0)
)</f>
        <v>0</v>
      </c>
      <c r="X81" s="3"/>
      <c r="AE81" s="19">
        <f>AH81+AK81+AN81+AQ81+AT81+AW81+AZ81</f>
        <v>0</v>
      </c>
      <c r="AG81" s="10">
        <f>SQRT(AF81)</f>
        <v>0</v>
      </c>
      <c r="AH81" s="10">
        <f>IF(AG81&gt;0,AG81/AG$6*1000, 0)</f>
        <v>0</v>
      </c>
      <c r="AI81" s="10"/>
      <c r="AJ81" s="10">
        <f>SQRT(AI81)</f>
        <v>0</v>
      </c>
      <c r="AK81" s="10">
        <f>IF(AJ81&gt;0,AJ81/AJ$6*1000, 0)</f>
        <v>0</v>
      </c>
      <c r="AM81" s="10">
        <f>SQRT(AL81)</f>
        <v>0</v>
      </c>
      <c r="AN81" s="10">
        <f>IF(AM81&gt;0,AM81/AM$6*1000, 0)</f>
        <v>0</v>
      </c>
      <c r="AY81" s="10">
        <f>SQRT(AX81)</f>
        <v>0</v>
      </c>
      <c r="AZ81" s="21">
        <f>IF(AY81&gt;0, AY81/AY$6*1000, 0)</f>
        <v>0</v>
      </c>
      <c r="BA81" s="16">
        <v>0.01</v>
      </c>
      <c r="BB81" s="15">
        <f>SQRT(BA81)</f>
        <v>0.1</v>
      </c>
      <c r="BC81" s="10">
        <f>IF(BB81&gt;0, BB81/BB$6*10000, 0)</f>
        <v>26.784512413480925</v>
      </c>
      <c r="BG81" s="17"/>
      <c r="BH81" s="40">
        <f>IF(BG81&gt;0, BG81/BG$6*2000, 0)</f>
        <v>0</v>
      </c>
      <c r="BJ81" s="17"/>
      <c r="BK81" s="5"/>
      <c r="BL81" s="3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20.100000000000001" customHeight="1" x14ac:dyDescent="0.25">
      <c r="B82" s="1">
        <v>67</v>
      </c>
      <c r="C82" s="26">
        <v>76</v>
      </c>
      <c r="D82" s="1" t="str">
        <f>IF(C82&lt;B82,"▲"&amp;B82-C82,IF(C82&gt;B82,"▼"&amp;C82-B82,"—"))</f>
        <v>▼9</v>
      </c>
      <c r="E82" s="2" t="s">
        <v>95</v>
      </c>
      <c r="F82" s="27">
        <f>G82+O82+W82+AE82+BC82+BH82</f>
        <v>173.11784574681428</v>
      </c>
      <c r="G82" s="12">
        <f>IF(COUNTIF(H82:INDEX(H82:N82,$B$1),"&gt;0")=0,0,
(SUMIF(H82:INDEX(H82:N82,$B$1),"&gt;0",H82:INDEX(H82:N82,$B$1))*$B$1/COUNTIF(H82:INDEX(H82:N82,$B$1),"&gt;0"))*
IF($B$1-COUNTIF(H82:INDEX(H82:N82,$B$1),"&gt;0")&lt;=2,1,
IF($B$1-COUNTIF(H82:INDEX(H82:N82,$B$1),"&gt;0")=3,0.8,
IF($B$1-COUNTIF(H82:INDEX(H82:N82,$B$1),"&gt;0")=4,0.6,0))))</f>
        <v>101.66666666666667</v>
      </c>
      <c r="H82" s="3">
        <v>-1</v>
      </c>
      <c r="I82" s="3">
        <v>-1</v>
      </c>
      <c r="J82" s="3">
        <v>18</v>
      </c>
      <c r="K82" s="3">
        <v>18</v>
      </c>
      <c r="L82" s="3">
        <v>25</v>
      </c>
      <c r="M82" s="3"/>
      <c r="N82" s="3"/>
      <c r="O82" s="10">
        <f>0.2*IF(COUNTIF(P82:INDEX(P82:V82,$B$1),"&gt;0")=0,0,
(SUMIF(P82:INDEX(P82:V82,$B$1),"&gt;0",P82:INDEX(P82:V82,$B$1))*$B$1/COUNTIF(P82:INDEX(P82:V82,$B$1),"&gt;0"))*
IF($B$1-COUNTIF(P82:INDEX(P82:V82,$B$1),"&gt;0")&lt;=2,1,
IF($B$1-COUNTIF(P82:INDEX(P82:V82,$B$1),"&gt;0")=3,0.8,
IF($B$1-COUNTIF(P82:INDEX(P82:V82,$B$1),"&gt;0")=4,0.6,0))))</f>
        <v>44.666666666666671</v>
      </c>
      <c r="P82" s="3">
        <v>-1</v>
      </c>
      <c r="Q82" s="3">
        <v>-1</v>
      </c>
      <c r="R82" s="3">
        <v>39</v>
      </c>
      <c r="S82" s="3">
        <v>50</v>
      </c>
      <c r="T82" s="3">
        <v>45</v>
      </c>
      <c r="W82" s="3">
        <f>MIN(100,
IF($B$1&gt;=1,IFERROR(VALUE(SUBSTITUTE(SUBSTITUTE(TRIM(X82),"A",""),"B","")),0),0)+
IF($B$1&gt;=2,IFERROR(VALUE(SUBSTITUTE(SUBSTITUTE(TRIM(Y82),"A",""),"B","")),0),0)+
IF($B$1&gt;=3,IFERROR(VALUE(SUBSTITUTE(SUBSTITUTE(TRIM(Z82),"A",""),"B","")),0),0)+
IF($B$1&gt;=4,IFERROR(VALUE(SUBSTITUTE(SUBSTITUTE(TRIM(AA82),"A",""),"B","")),0),0)+
IF($B$1&gt;=5,IFERROR(VALUE(SUBSTITUTE(SUBSTITUTE(TRIM(AB82),"A",""),"B","")),0),0)+
IF($B$1&gt;=6,IFERROR(VALUE(SUBSTITUTE(SUBSTITUTE(TRIM(AC82),"A",""),"B","")),0),0)+
IF($B$1&gt;=7,IFERROR(VALUE(SUBSTITUTE(SUBSTITUTE(TRIM(AD82),"A",""),"B","")),0),0)
)</f>
        <v>0</v>
      </c>
      <c r="X82" s="3"/>
      <c r="AE82" s="19">
        <f>AH82+AK82+AN82+AQ82+AT82+AW82+AZ82</f>
        <v>0</v>
      </c>
      <c r="AG82" s="10">
        <f>SQRT(AF82)</f>
        <v>0</v>
      </c>
      <c r="AH82" s="10">
        <f>IF(AG82&gt;0,AG82/AG$6*1000, 0)</f>
        <v>0</v>
      </c>
      <c r="AI82" s="10"/>
      <c r="AJ82" s="10">
        <f>SQRT(AI82)</f>
        <v>0</v>
      </c>
      <c r="AK82" s="10">
        <f>IF(AJ82&gt;0,AJ82/AJ$6*1000, 0)</f>
        <v>0</v>
      </c>
      <c r="AM82" s="10">
        <f>SQRT(AL82)</f>
        <v>0</v>
      </c>
      <c r="AN82" s="10">
        <f>IF(AM82&gt;0,AM82/AM$6*1000, 0)</f>
        <v>0</v>
      </c>
      <c r="AY82" s="10">
        <f>SQRT(AX82)</f>
        <v>0</v>
      </c>
      <c r="AZ82" s="21">
        <f>IF(AY82&gt;0, AY82/AY$6*1000, 0)</f>
        <v>0</v>
      </c>
      <c r="BA82" s="16">
        <v>0.01</v>
      </c>
      <c r="BB82" s="15">
        <f>SQRT(BA82)</f>
        <v>0.1</v>
      </c>
      <c r="BC82" s="10">
        <f>IF(BB82&gt;0, BB82/BB$6*10000, 0)</f>
        <v>26.784512413480925</v>
      </c>
      <c r="BG82" s="17"/>
      <c r="BH82" s="40">
        <f>IF(BG82&gt;0, BG82/BG$6*2000, 0)</f>
        <v>0</v>
      </c>
      <c r="BJ82" s="17"/>
      <c r="BK82" s="5"/>
      <c r="BL82" s="3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20.100000000000001" customHeight="1" x14ac:dyDescent="0.25">
      <c r="B83" s="1">
        <v>81</v>
      </c>
      <c r="C83" s="26">
        <v>77</v>
      </c>
      <c r="D83" s="1" t="str">
        <f>IF(C83&lt;B83,"▲"&amp;B83-C83,IF(C83&gt;B83,"▼"&amp;C83-B83,"—"))</f>
        <v>▲4</v>
      </c>
      <c r="E83" s="2" t="s">
        <v>96</v>
      </c>
      <c r="F83" s="27">
        <f>G83+O83+W83+AE83+BC83+BH83</f>
        <v>169.76902482696187</v>
      </c>
      <c r="G83" s="12">
        <f>IF(COUNTIF(H83:INDEX(H83:N83,$B$1),"&gt;0")=0,0,
(SUMIF(H83:INDEX(H83:N83,$B$1),"&gt;0",H83:INDEX(H83:N83,$B$1))*$B$1/COUNTIF(H83:INDEX(H83:N83,$B$1),"&gt;0"))*
IF($B$1-COUNTIF(H83:INDEX(H83:N83,$B$1),"&gt;0")&lt;=2,1,
IF($B$1-COUNTIF(H83:INDEX(H83:N83,$B$1),"&gt;0")=3,0.8,
IF($B$1-COUNTIF(H83:INDEX(H83:N83,$B$1),"&gt;0")=4,0.6,0))))</f>
        <v>80</v>
      </c>
      <c r="H83" s="3">
        <v>21</v>
      </c>
      <c r="I83" s="3">
        <v>18</v>
      </c>
      <c r="J83" s="3">
        <v>16</v>
      </c>
      <c r="K83" s="3">
        <v>13</v>
      </c>
      <c r="L83" s="3">
        <v>12</v>
      </c>
      <c r="M83" s="3"/>
      <c r="N83" s="3"/>
      <c r="O83" s="10">
        <f>0.2*IF(COUNTIF(P83:INDEX(P83:V83,$B$1),"&gt;0")=0,0,
(SUMIF(P83:INDEX(P83:V83,$B$1),"&gt;0",P83:INDEX(P83:V83,$B$1))*$B$1/COUNTIF(P83:INDEX(P83:V83,$B$1),"&gt;0"))*
IF($B$1-COUNTIF(P83:INDEX(P83:V83,$B$1),"&gt;0")&lt;=2,1,
IF($B$1-COUNTIF(P83:INDEX(P83:V83,$B$1),"&gt;0")=3,0.8,
IF($B$1-COUNTIF(P83:INDEX(P83:V83,$B$1),"&gt;0")=4,0.6,0))))</f>
        <v>36.200000000000003</v>
      </c>
      <c r="P83" s="3">
        <v>42</v>
      </c>
      <c r="Q83" s="3">
        <v>28</v>
      </c>
      <c r="R83" s="3">
        <v>37</v>
      </c>
      <c r="S83" s="3">
        <v>38</v>
      </c>
      <c r="T83" s="3">
        <v>36</v>
      </c>
      <c r="W83" s="3">
        <f>MIN(100,
IF($B$1&gt;=1,IFERROR(VALUE(SUBSTITUTE(SUBSTITUTE(TRIM(X83),"A",""),"B","")),0),0)+
IF($B$1&gt;=2,IFERROR(VALUE(SUBSTITUTE(SUBSTITUTE(TRIM(Y83),"A",""),"B","")),0),0)+
IF($B$1&gt;=3,IFERROR(VALUE(SUBSTITUTE(SUBSTITUTE(TRIM(Z83),"A",""),"B","")),0),0)+
IF($B$1&gt;=4,IFERROR(VALUE(SUBSTITUTE(SUBSTITUTE(TRIM(AA83),"A",""),"B","")),0),0)+
IF($B$1&gt;=5,IFERROR(VALUE(SUBSTITUTE(SUBSTITUTE(TRIM(AB83),"A",""),"B","")),0),0)+
IF($B$1&gt;=6,IFERROR(VALUE(SUBSTITUTE(SUBSTITUTE(TRIM(AC83),"A",""),"B","")),0),0)+
IF($B$1&gt;=7,IFERROR(VALUE(SUBSTITUTE(SUBSTITUTE(TRIM(AD83),"A",""),"B","")),0),0)
)</f>
        <v>0</v>
      </c>
      <c r="X83" s="3"/>
      <c r="AE83" s="19">
        <f>AH83+AK83+AN83+AQ83+AT83+AW83+AZ83</f>
        <v>0</v>
      </c>
      <c r="AG83" s="10">
        <f>SQRT(AF83)</f>
        <v>0</v>
      </c>
      <c r="AH83" s="10">
        <f>IF(AG83&gt;0,AG83/AG$6*1000, 0)</f>
        <v>0</v>
      </c>
      <c r="AI83" s="10"/>
      <c r="AJ83" s="10">
        <f>SQRT(AI83)</f>
        <v>0</v>
      </c>
      <c r="AK83" s="10">
        <f>IF(AJ83&gt;0,AJ83/AJ$6*1000, 0)</f>
        <v>0</v>
      </c>
      <c r="AM83" s="10">
        <f>SQRT(AL83)</f>
        <v>0</v>
      </c>
      <c r="AN83" s="10">
        <f>IF(AM83&gt;0,AM83/AM$6*1000, 0)</f>
        <v>0</v>
      </c>
      <c r="AY83" s="10">
        <f>SQRT(AX83)</f>
        <v>0</v>
      </c>
      <c r="AZ83" s="21">
        <f>IF(AY83&gt;0, AY83/AY$6*1000, 0)</f>
        <v>0</v>
      </c>
      <c r="BA83" s="16">
        <v>0.04</v>
      </c>
      <c r="BB83" s="15">
        <f>SQRT(BA83)</f>
        <v>0.2</v>
      </c>
      <c r="BC83" s="10">
        <f>IF(BB83&gt;0, BB83/BB$6*10000, 0)</f>
        <v>53.569024826961851</v>
      </c>
      <c r="BG83" s="17"/>
      <c r="BH83" s="40">
        <f>IF(BG83&gt;0, BG83/BG$6*2000, 0)</f>
        <v>0</v>
      </c>
      <c r="BJ83" s="17"/>
      <c r="BK83" s="5"/>
      <c r="BL83" s="3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20.100000000000001" customHeight="1" x14ac:dyDescent="0.25">
      <c r="B84" s="1">
        <v>82</v>
      </c>
      <c r="C84" s="26">
        <v>78</v>
      </c>
      <c r="D84" s="1" t="str">
        <f>IF(C84&lt;B84,"▲"&amp;B84-C84,IF(C84&gt;B84,"▼"&amp;C84-B84,"—"))</f>
        <v>▲4</v>
      </c>
      <c r="E84" s="2" t="s">
        <v>99</v>
      </c>
      <c r="F84" s="27">
        <f>G84+O84+W84+AE84+BC84+BH84</f>
        <v>165.71434317902177</v>
      </c>
      <c r="G84" s="12">
        <f>IF(COUNTIF(H84:INDEX(H84:N84,$B$1),"&gt;0")=0,0,
(SUMIF(H84:INDEX(H84:N84,$B$1),"&gt;0",H84:INDEX(H84:N84,$B$1))*$B$1/COUNTIF(H84:INDEX(H84:N84,$B$1),"&gt;0"))*
IF($B$1-COUNTIF(H84:INDEX(H84:N84,$B$1),"&gt;0")&lt;=2,1,
IF($B$1-COUNTIF(H84:INDEX(H84:N84,$B$1),"&gt;0")=3,0.8,
IF($B$1-COUNTIF(H84:INDEX(H84:N84,$B$1),"&gt;0")=4,0.6,0))))</f>
        <v>66</v>
      </c>
      <c r="H84" s="3">
        <v>10</v>
      </c>
      <c r="I84" s="3">
        <v>11</v>
      </c>
      <c r="J84" s="3">
        <v>15</v>
      </c>
      <c r="K84" s="3">
        <v>17</v>
      </c>
      <c r="L84" s="3">
        <v>13</v>
      </c>
      <c r="M84" s="3"/>
      <c r="N84" s="3"/>
      <c r="O84" s="10">
        <f>0.2*IF(COUNTIF(P84:INDEX(P84:V84,$B$1),"&gt;0")=0,0,
(SUMIF(P84:INDEX(P84:V84,$B$1),"&gt;0",P84:INDEX(P84:V84,$B$1))*$B$1/COUNTIF(P84:INDEX(P84:V84,$B$1),"&gt;0"))*
IF($B$1-COUNTIF(P84:INDEX(P84:V84,$B$1),"&gt;0")&lt;=2,1,
IF($B$1-COUNTIF(P84:INDEX(P84:V84,$B$1),"&gt;0")=3,0.8,
IF($B$1-COUNTIF(P84:INDEX(P84:V84,$B$1),"&gt;0")=4,0.6,0))))</f>
        <v>42.400000000000006</v>
      </c>
      <c r="P84" s="3">
        <v>48</v>
      </c>
      <c r="Q84" s="3">
        <v>35</v>
      </c>
      <c r="R84" s="3">
        <v>40</v>
      </c>
      <c r="S84" s="3">
        <v>37</v>
      </c>
      <c r="T84" s="3">
        <v>52</v>
      </c>
      <c r="W84" s="3">
        <f>MIN(100,
IF($B$1&gt;=1,IFERROR(VALUE(SUBSTITUTE(SUBSTITUTE(TRIM(X84),"A",""),"B","")),0),0)+
IF($B$1&gt;=2,IFERROR(VALUE(SUBSTITUTE(SUBSTITUTE(TRIM(Y84),"A",""),"B","")),0),0)+
IF($B$1&gt;=3,IFERROR(VALUE(SUBSTITUTE(SUBSTITUTE(TRIM(Z84),"A",""),"B","")),0),0)+
IF($B$1&gt;=4,IFERROR(VALUE(SUBSTITUTE(SUBSTITUTE(TRIM(AA84),"A",""),"B","")),0),0)+
IF($B$1&gt;=5,IFERROR(VALUE(SUBSTITUTE(SUBSTITUTE(TRIM(AB84),"A",""),"B","")),0),0)+
IF($B$1&gt;=6,IFERROR(VALUE(SUBSTITUTE(SUBSTITUTE(TRIM(AC84),"A",""),"B","")),0),0)+
IF($B$1&gt;=7,IFERROR(VALUE(SUBSTITUTE(SUBSTITUTE(TRIM(AD84),"A",""),"B","")),0),0)
)</f>
        <v>0</v>
      </c>
      <c r="X84" s="3"/>
      <c r="AE84" s="19">
        <f>AH84+AK84+AN84+AQ84+AT84+AW84+AZ84</f>
        <v>0</v>
      </c>
      <c r="AG84" s="10">
        <f>SQRT(AF84)</f>
        <v>0</v>
      </c>
      <c r="AH84" s="10">
        <f>IF(AG84&gt;0,AG84/AG$6*1000, 0)</f>
        <v>0</v>
      </c>
      <c r="AI84" s="10"/>
      <c r="AJ84" s="10">
        <f>SQRT(AI84)</f>
        <v>0</v>
      </c>
      <c r="AK84" s="10">
        <f>IF(AJ84&gt;0,AJ84/AJ$6*1000, 0)</f>
        <v>0</v>
      </c>
      <c r="AM84" s="10">
        <f>SQRT(AL84)</f>
        <v>0</v>
      </c>
      <c r="AN84" s="10">
        <f>IF(AM84&gt;0,AM84/AM$6*1000, 0)</f>
        <v>0</v>
      </c>
      <c r="AY84" s="10">
        <f>SQRT(AX84)</f>
        <v>0</v>
      </c>
      <c r="AZ84" s="21">
        <f>IF(AY84&gt;0, AY84/AY$6*1000, 0)</f>
        <v>0</v>
      </c>
      <c r="BA84" s="16">
        <v>0.04</v>
      </c>
      <c r="BB84" s="15">
        <f>SQRT(BA84)</f>
        <v>0.2</v>
      </c>
      <c r="BC84" s="10">
        <f>IF(BB84&gt;0, BB84/BB$6*10000, 0)</f>
        <v>53.569024826961851</v>
      </c>
      <c r="BG84" s="17">
        <v>1</v>
      </c>
      <c r="BH84" s="40">
        <f>IF(BG84&gt;0, BG84/BG$6*2000, 0)</f>
        <v>3.7453183520599249</v>
      </c>
      <c r="BJ84" s="17"/>
      <c r="BK84" s="5"/>
      <c r="BL84" s="3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20.100000000000001" customHeight="1" x14ac:dyDescent="0.25">
      <c r="B85" s="1">
        <v>85</v>
      </c>
      <c r="C85" s="26">
        <v>79</v>
      </c>
      <c r="D85" s="1" t="str">
        <f>IF(C85&lt;B85,"▲"&amp;B85-C85,IF(C85&gt;B85,"▼"&amp;C85-B85,"—"))</f>
        <v>▲6</v>
      </c>
      <c r="E85" s="2" t="s">
        <v>107</v>
      </c>
      <c r="F85" s="27">
        <f>G85+O85+W85+AE85+BC85+BH85</f>
        <v>163.77002645211707</v>
      </c>
      <c r="G85" s="12">
        <f>IF(COUNTIF(H85:INDEX(H85:N85,$B$1),"&gt;0")=0,0,
(SUMIF(H85:INDEX(H85:N85,$B$1),"&gt;0",H85:INDEX(H85:N85,$B$1))*$B$1/COUNTIF(H85:INDEX(H85:N85,$B$1),"&gt;0"))*
IF($B$1-COUNTIF(H85:INDEX(H85:N85,$B$1),"&gt;0")&lt;=2,1,
IF($B$1-COUNTIF(H85:INDEX(H85:N85,$B$1),"&gt;0")=3,0.8,
IF($B$1-COUNTIF(H85:INDEX(H85:N85,$B$1),"&gt;0")=4,0.6,0))))</f>
        <v>76.666666666666671</v>
      </c>
      <c r="H85" s="3">
        <v>-1</v>
      </c>
      <c r="I85" s="3">
        <v>-1</v>
      </c>
      <c r="J85" s="3">
        <v>3</v>
      </c>
      <c r="K85" s="3">
        <v>14</v>
      </c>
      <c r="L85" s="3">
        <v>29</v>
      </c>
      <c r="M85" s="3"/>
      <c r="N85" s="3"/>
      <c r="O85" s="10">
        <f>0.2*IF(COUNTIF(P85:INDEX(P85:V85,$B$1),"&gt;0")=0,0,
(SUMIF(P85:INDEX(P85:V85,$B$1),"&gt;0",P85:INDEX(P85:V85,$B$1))*$B$1/COUNTIF(P85:INDEX(P85:V85,$B$1),"&gt;0"))*
IF($B$1-COUNTIF(P85:INDEX(P85:V85,$B$1),"&gt;0")&lt;=2,1,
IF($B$1-COUNTIF(P85:INDEX(P85:V85,$B$1),"&gt;0")=3,0.8,
IF($B$1-COUNTIF(P85:INDEX(P85:V85,$B$1),"&gt;0")=4,0.6,0))))</f>
        <v>7.6000000000000005</v>
      </c>
      <c r="P85" s="3">
        <v>-1</v>
      </c>
      <c r="Q85" s="3">
        <v>-1</v>
      </c>
      <c r="R85" s="3">
        <v>3</v>
      </c>
      <c r="S85" s="3">
        <v>-2</v>
      </c>
      <c r="T85" s="3">
        <v>16</v>
      </c>
      <c r="W85" s="3">
        <f>MIN(100,
IF($B$1&gt;=1,IFERROR(VALUE(SUBSTITUTE(SUBSTITUTE(TRIM(X85),"A",""),"B","")),0),0)+
IF($B$1&gt;=2,IFERROR(VALUE(SUBSTITUTE(SUBSTITUTE(TRIM(Y85),"A",""),"B","")),0),0)+
IF($B$1&gt;=3,IFERROR(VALUE(SUBSTITUTE(SUBSTITUTE(TRIM(Z85),"A",""),"B","")),0),0)+
IF($B$1&gt;=4,IFERROR(VALUE(SUBSTITUTE(SUBSTITUTE(TRIM(AA85),"A",""),"B","")),0),0)+
IF($B$1&gt;=5,IFERROR(VALUE(SUBSTITUTE(SUBSTITUTE(TRIM(AB85),"A",""),"B","")),0),0)+
IF($B$1&gt;=6,IFERROR(VALUE(SUBSTITUTE(SUBSTITUTE(TRIM(AC85),"A",""),"B","")),0),0)+
IF($B$1&gt;=7,IFERROR(VALUE(SUBSTITUTE(SUBSTITUTE(TRIM(AD85),"A",""),"B","")),0),0)
)</f>
        <v>0</v>
      </c>
      <c r="X85" s="3"/>
      <c r="AE85" s="19">
        <f>AH85+AK85+AN85+AQ85+AT85+AW85+AZ85</f>
        <v>0</v>
      </c>
      <c r="AG85" s="10">
        <f>SQRT(AF85)</f>
        <v>0</v>
      </c>
      <c r="AH85" s="10">
        <f>IF(AG85&gt;0,AG85/AG$6*1000, 0)</f>
        <v>0</v>
      </c>
      <c r="AI85" s="10"/>
      <c r="AJ85" s="10">
        <f>SQRT(AI85)</f>
        <v>0</v>
      </c>
      <c r="AK85" s="10">
        <f>IF(AJ85&gt;0,AJ85/AJ$6*1000, 0)</f>
        <v>0</v>
      </c>
      <c r="AM85" s="10">
        <f>SQRT(AL85)</f>
        <v>0</v>
      </c>
      <c r="AN85" s="10">
        <f>IF(AM85&gt;0,AM85/AM$6*1000, 0)</f>
        <v>0</v>
      </c>
      <c r="AY85" s="10">
        <f>SQRT(AX85)</f>
        <v>0</v>
      </c>
      <c r="AZ85" s="21">
        <f>IF(AY85&gt;0, AY85/AY$6*1000, 0)</f>
        <v>0</v>
      </c>
      <c r="BA85" s="16">
        <v>0.08</v>
      </c>
      <c r="BB85" s="15">
        <f>SQRT(BA85)</f>
        <v>0.28284271247461901</v>
      </c>
      <c r="BC85" s="10">
        <f>IF(BB85&gt;0, BB85/BB$6*10000, 0)</f>
        <v>75.758041433390488</v>
      </c>
      <c r="BG85" s="17">
        <v>1</v>
      </c>
      <c r="BH85" s="40">
        <f>IF(BG85&gt;0, BG85/BG$6*2000, 0)</f>
        <v>3.7453183520599249</v>
      </c>
      <c r="BJ85" s="17"/>
      <c r="BK85" s="5"/>
      <c r="BL85" s="3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s="4" customFormat="1" ht="20.100000000000001" customHeight="1" x14ac:dyDescent="0.25">
      <c r="A86" s="1"/>
      <c r="B86" s="1">
        <v>94</v>
      </c>
      <c r="C86" s="26">
        <v>80</v>
      </c>
      <c r="D86" s="1" t="str">
        <f>IF(C86&lt;B86,"▲"&amp;B86-C86,IF(C86&gt;B86,"▼"&amp;C86-B86,"—"))</f>
        <v>▲14</v>
      </c>
      <c r="E86" s="2" t="s">
        <v>93</v>
      </c>
      <c r="F86" s="27">
        <f>G86+O86+W86+AE86+BC86+BH86</f>
        <v>150.92983076554086</v>
      </c>
      <c r="G86" s="12">
        <f>IF(COUNTIF(H86:INDEX(H86:N86,$B$1),"&gt;0")=0,0,
(SUMIF(H86:INDEX(H86:N86,$B$1),"&gt;0",H86:INDEX(H86:N86,$B$1))*$B$1/COUNTIF(H86:INDEX(H86:N86,$B$1),"&gt;0"))*
IF($B$1-COUNTIF(H86:INDEX(H86:N86,$B$1),"&gt;0")&lt;=2,1,
IF($B$1-COUNTIF(H86:INDEX(H86:N86,$B$1),"&gt;0")=3,0.8,
IF($B$1-COUNTIF(H86:INDEX(H86:N86,$B$1),"&gt;0")=4,0.6,0))))</f>
        <v>97</v>
      </c>
      <c r="H86" s="3">
        <v>19</v>
      </c>
      <c r="I86" s="3">
        <v>16</v>
      </c>
      <c r="J86" s="3">
        <v>27</v>
      </c>
      <c r="K86" s="3">
        <v>30</v>
      </c>
      <c r="L86" s="3">
        <v>5</v>
      </c>
      <c r="M86" s="3"/>
      <c r="N86" s="3"/>
      <c r="O86" s="10">
        <f>0.2*IF(COUNTIF(P86:INDEX(P86:V86,$B$1),"&gt;0")=0,0,
(SUMIF(P86:INDEX(P86:V86,$B$1),"&gt;0",P86:INDEX(P86:V86,$B$1))*$B$1/COUNTIF(P86:INDEX(P86:V86,$B$1),"&gt;0"))*
IF($B$1-COUNTIF(P86:INDEX(P86:V86,$B$1),"&gt;0")&lt;=2,1,
IF($B$1-COUNTIF(P86:INDEX(P86:V86,$B$1),"&gt;0")=3,0.8,
IF($B$1-COUNTIF(P86:INDEX(P86:V86,$B$1),"&gt;0")=4,0.6,0))))</f>
        <v>23.400000000000002</v>
      </c>
      <c r="P86" s="3">
        <v>26</v>
      </c>
      <c r="Q86" s="3">
        <v>27</v>
      </c>
      <c r="R86" s="3">
        <v>32</v>
      </c>
      <c r="S86" s="3">
        <v>17</v>
      </c>
      <c r="T86" s="3">
        <v>15</v>
      </c>
      <c r="U86" s="3"/>
      <c r="V86" s="3"/>
      <c r="W86" s="3">
        <f>MIN(100,
IF($B$1&gt;=1,IFERROR(VALUE(SUBSTITUTE(SUBSTITUTE(TRIM(X86),"A",""),"B","")),0),0)+
IF($B$1&gt;=2,IFERROR(VALUE(SUBSTITUTE(SUBSTITUTE(TRIM(Y86),"A",""),"B","")),0),0)+
IF($B$1&gt;=3,IFERROR(VALUE(SUBSTITUTE(SUBSTITUTE(TRIM(Z86),"A",""),"B","")),0),0)+
IF($B$1&gt;=4,IFERROR(VALUE(SUBSTITUTE(SUBSTITUTE(TRIM(AA86),"A",""),"B","")),0),0)+
IF($B$1&gt;=5,IFERROR(VALUE(SUBSTITUTE(SUBSTITUTE(TRIM(AB86),"A",""),"B","")),0),0)+
IF($B$1&gt;=6,IFERROR(VALUE(SUBSTITUTE(SUBSTITUTE(TRIM(AC86),"A",""),"B","")),0),0)+
IF($B$1&gt;=7,IFERROR(VALUE(SUBSTITUTE(SUBSTITUTE(TRIM(AD86),"A",""),"B","")),0),0)
)</f>
        <v>0</v>
      </c>
      <c r="X86" s="3"/>
      <c r="Y86" s="3"/>
      <c r="Z86" s="3"/>
      <c r="AA86" s="3"/>
      <c r="AB86" s="3"/>
      <c r="AC86" s="3"/>
      <c r="AD86" s="3"/>
      <c r="AE86" s="19">
        <f>AH86+AK86+AN86+AQ86+AT86+AW86+AZ86</f>
        <v>0</v>
      </c>
      <c r="AF86" s="10"/>
      <c r="AG86" s="10">
        <f>SQRT(AF86)</f>
        <v>0</v>
      </c>
      <c r="AH86" s="10">
        <f>IF(AG86&gt;0,AG86/AG$6*1000, 0)</f>
        <v>0</v>
      </c>
      <c r="AI86" s="10"/>
      <c r="AJ86" s="10">
        <f>SQRT(AI86)</f>
        <v>0</v>
      </c>
      <c r="AK86" s="10">
        <f>IF(AJ86&gt;0,AJ86/AJ$6*1000, 0)</f>
        <v>0</v>
      </c>
      <c r="AL86" s="10"/>
      <c r="AM86" s="10">
        <f>SQRT(AL86)</f>
        <v>0</v>
      </c>
      <c r="AN86" s="10">
        <f>IF(AM86&gt;0,AM86/AM$6*1000, 0)</f>
        <v>0</v>
      </c>
      <c r="AO86" s="10"/>
      <c r="AP86" s="10"/>
      <c r="AQ86" s="10"/>
      <c r="AR86" s="10"/>
      <c r="AS86" s="10"/>
      <c r="AT86" s="10"/>
      <c r="AU86" s="10"/>
      <c r="AV86" s="10"/>
      <c r="AW86" s="10"/>
      <c r="AX86" s="17"/>
      <c r="AY86" s="10">
        <f>SQRT(AX86)</f>
        <v>0</v>
      </c>
      <c r="AZ86" s="21">
        <f>IF(AY86&gt;0, AY86/AY$6*1000, 0)</f>
        <v>0</v>
      </c>
      <c r="BA86" s="16">
        <v>0.01</v>
      </c>
      <c r="BB86" s="15">
        <f>SQRT(BA86)</f>
        <v>0.1</v>
      </c>
      <c r="BC86" s="10">
        <f>IF(BB86&gt;0, BB86/BB$6*10000, 0)</f>
        <v>26.784512413480925</v>
      </c>
      <c r="BD86" s="10"/>
      <c r="BE86" s="10"/>
      <c r="BF86" s="10"/>
      <c r="BG86" s="17">
        <v>1</v>
      </c>
      <c r="BH86" s="40">
        <f>IF(BG86&gt;0, BG86/BG$6*2000, 0)</f>
        <v>3.7453183520599249</v>
      </c>
      <c r="BI86" s="17"/>
      <c r="BJ86" s="17"/>
      <c r="BK86" s="3"/>
      <c r="BL86" s="1"/>
      <c r="BM86" s="1"/>
      <c r="BN86" s="1"/>
    </row>
    <row r="87" spans="1:85" ht="20.100000000000001" customHeight="1" x14ac:dyDescent="0.25">
      <c r="B87" s="1">
        <v>79</v>
      </c>
      <c r="C87" s="26">
        <v>81</v>
      </c>
      <c r="D87" s="1" t="str">
        <f>IF(C87&lt;B87,"▲"&amp;B87-C87,IF(C87&gt;B87,"▼"&amp;C87-B87,"—"))</f>
        <v>▼2</v>
      </c>
      <c r="E87" s="2" t="s">
        <v>102</v>
      </c>
      <c r="F87" s="27">
        <f>G87+O87+W87+AE87+BC87+BH87</f>
        <v>145.12983076554085</v>
      </c>
      <c r="G87" s="12">
        <f>IF(COUNTIF(H87:INDEX(H87:N87,$B$1),"&gt;0")=0,0,
(SUMIF(H87:INDEX(H87:N87,$B$1),"&gt;0",H87:INDEX(H87:N87,$B$1))*$B$1/COUNTIF(H87:INDEX(H87:N87,$B$1),"&gt;0"))*
IF($B$1-COUNTIF(H87:INDEX(H87:N87,$B$1),"&gt;0")&lt;=2,1,
IF($B$1-COUNTIF(H87:INDEX(H87:N87,$B$1),"&gt;0")=3,0.8,
IF($B$1-COUNTIF(H87:INDEX(H87:N87,$B$1),"&gt;0")=4,0.6,0))))</f>
        <v>94</v>
      </c>
      <c r="H87" s="3">
        <v>8</v>
      </c>
      <c r="I87" s="3">
        <v>32</v>
      </c>
      <c r="J87" s="3">
        <v>7</v>
      </c>
      <c r="K87" s="3">
        <v>26</v>
      </c>
      <c r="L87" s="3">
        <v>21</v>
      </c>
      <c r="M87" s="3"/>
      <c r="N87" s="3"/>
      <c r="O87" s="10">
        <f>0.2*IF(COUNTIF(P87:INDEX(P87:V87,$B$1),"&gt;0")=0,0,
(SUMIF(P87:INDEX(P87:V87,$B$1),"&gt;0",P87:INDEX(P87:V87,$B$1))*$B$1/COUNTIF(P87:INDEX(P87:V87,$B$1),"&gt;0"))*
IF($B$1-COUNTIF(P87:INDEX(P87:V87,$B$1),"&gt;0")&lt;=2,1,
IF($B$1-COUNTIF(P87:INDEX(P87:V87,$B$1),"&gt;0")=3,0.8,
IF($B$1-COUNTIF(P87:INDEX(P87:V87,$B$1),"&gt;0")=4,0.6,0))))</f>
        <v>20.6</v>
      </c>
      <c r="P87" s="3">
        <v>15</v>
      </c>
      <c r="Q87" s="3">
        <v>18</v>
      </c>
      <c r="R87" s="3">
        <v>15</v>
      </c>
      <c r="S87" s="3">
        <v>28</v>
      </c>
      <c r="T87" s="3">
        <v>27</v>
      </c>
      <c r="W87" s="3">
        <f>MIN(100,
IF($B$1&gt;=1,IFERROR(VALUE(SUBSTITUTE(SUBSTITUTE(TRIM(X87),"A",""),"B","")),0),0)+
IF($B$1&gt;=2,IFERROR(VALUE(SUBSTITUTE(SUBSTITUTE(TRIM(Y87),"A",""),"B","")),0),0)+
IF($B$1&gt;=3,IFERROR(VALUE(SUBSTITUTE(SUBSTITUTE(TRIM(Z87),"A",""),"B","")),0),0)+
IF($B$1&gt;=4,IFERROR(VALUE(SUBSTITUTE(SUBSTITUTE(TRIM(AA87),"A",""),"B","")),0),0)+
IF($B$1&gt;=5,IFERROR(VALUE(SUBSTITUTE(SUBSTITUTE(TRIM(AB87),"A",""),"B","")),0),0)+
IF($B$1&gt;=6,IFERROR(VALUE(SUBSTITUTE(SUBSTITUTE(TRIM(AC87),"A",""),"B","")),0),0)+
IF($B$1&gt;=7,IFERROR(VALUE(SUBSTITUTE(SUBSTITUTE(TRIM(AD87),"A",""),"B","")),0),0)
)</f>
        <v>0</v>
      </c>
      <c r="X87" s="3"/>
      <c r="AE87" s="19">
        <f>AH87+AK87+AN87+AQ87+AT87+AW87+AZ87</f>
        <v>0</v>
      </c>
      <c r="AG87" s="10">
        <f>SQRT(AF87)</f>
        <v>0</v>
      </c>
      <c r="AH87" s="10">
        <f>IF(AG87&gt;0,AG87/AG$6*1000, 0)</f>
        <v>0</v>
      </c>
      <c r="AI87" s="10"/>
      <c r="AJ87" s="10">
        <f>SQRT(AI87)</f>
        <v>0</v>
      </c>
      <c r="AK87" s="10">
        <f>IF(AJ87&gt;0,AJ87/AJ$6*1000, 0)</f>
        <v>0</v>
      </c>
      <c r="AM87" s="10">
        <f>SQRT(AL87)</f>
        <v>0</v>
      </c>
      <c r="AN87" s="10">
        <f>IF(AM87&gt;0,AM87/AM$6*1000, 0)</f>
        <v>0</v>
      </c>
      <c r="AY87" s="10">
        <f>SQRT(AX87)</f>
        <v>0</v>
      </c>
      <c r="AZ87" s="21">
        <f>IF(AY87&gt;0, AY87/AY$6*1000, 0)</f>
        <v>0</v>
      </c>
      <c r="BA87" s="16">
        <v>0.01</v>
      </c>
      <c r="BB87" s="15">
        <f>SQRT(BA87)</f>
        <v>0.1</v>
      </c>
      <c r="BC87" s="10">
        <f>IF(BB87&gt;0, BB87/BB$6*10000, 0)</f>
        <v>26.784512413480925</v>
      </c>
      <c r="BG87" s="17">
        <v>1</v>
      </c>
      <c r="BH87" s="40">
        <f>IF(BG87&gt;0, BG87/BG$6*2000, 0)</f>
        <v>3.7453183520599249</v>
      </c>
      <c r="BJ87" s="17"/>
      <c r="BK87" s="5"/>
      <c r="BL87" s="3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20.100000000000001" customHeight="1" x14ac:dyDescent="0.25">
      <c r="B88" s="1">
        <v>88</v>
      </c>
      <c r="C88" s="26">
        <v>82</v>
      </c>
      <c r="D88" s="1" t="str">
        <f>IF(C88&lt;B88,"▲"&amp;B88-C88,IF(C88&gt;B88,"▼"&amp;C88-B88,"—"))</f>
        <v>▲6</v>
      </c>
      <c r="E88" s="2" t="s">
        <v>126</v>
      </c>
      <c r="F88" s="27">
        <f>G88+O88+W88+AE88+BC88+BH88</f>
        <v>141.92983076554086</v>
      </c>
      <c r="G88" s="12">
        <f>IF(COUNTIF(H88:INDEX(H88:N88,$B$1),"&gt;0")=0,0,
(SUMIF(H88:INDEX(H88:N88,$B$1),"&gt;0",H88:INDEX(H88:N88,$B$1))*$B$1/COUNTIF(H88:INDEX(H88:N88,$B$1),"&gt;0"))*
IF($B$1-COUNTIF(H88:INDEX(H88:N88,$B$1),"&gt;0")&lt;=2,1,
IF($B$1-COUNTIF(H88:INDEX(H88:N88,$B$1),"&gt;0")=3,0.8,
IF($B$1-COUNTIF(H88:INDEX(H88:N88,$B$1),"&gt;0")=4,0.6,0))))</f>
        <v>105</v>
      </c>
      <c r="H88" s="3">
        <v>-1</v>
      </c>
      <c r="I88" s="3">
        <v>-1</v>
      </c>
      <c r="J88" s="3">
        <v>-1</v>
      </c>
      <c r="K88" s="3">
        <v>-1</v>
      </c>
      <c r="L88" s="3">
        <v>35</v>
      </c>
      <c r="M88" s="3"/>
      <c r="N88" s="3"/>
      <c r="O88" s="10">
        <f>0.2*IF(COUNTIF(P88:INDEX(P88:V88,$B$1),"&gt;0")=0,0,
(SUMIF(P88:INDEX(P88:V88,$B$1),"&gt;0",P88:INDEX(P88:V88,$B$1))*$B$1/COUNTIF(P88:INDEX(P88:V88,$B$1),"&gt;0"))*
IF($B$1-COUNTIF(P88:INDEX(P88:V88,$B$1),"&gt;0")&lt;=2,1,
IF($B$1-COUNTIF(P88:INDEX(P88:V88,$B$1),"&gt;0")=3,0.8,
IF($B$1-COUNTIF(P88:INDEX(P88:V88,$B$1),"&gt;0")=4,0.6,0))))</f>
        <v>6.4</v>
      </c>
      <c r="P88" s="3">
        <v>-1</v>
      </c>
      <c r="Q88" s="3">
        <v>-1</v>
      </c>
      <c r="R88" s="3">
        <v>-1</v>
      </c>
      <c r="S88" s="3">
        <v>1</v>
      </c>
      <c r="T88" s="3">
        <v>15</v>
      </c>
      <c r="W88" s="3">
        <f>MIN(100,
IF($B$1&gt;=1,IFERROR(VALUE(SUBSTITUTE(SUBSTITUTE(TRIM(X88),"A",""),"B","")),0),0)+
IF($B$1&gt;=2,IFERROR(VALUE(SUBSTITUTE(SUBSTITUTE(TRIM(Y88),"A",""),"B","")),0),0)+
IF($B$1&gt;=3,IFERROR(VALUE(SUBSTITUTE(SUBSTITUTE(TRIM(Z88),"A",""),"B","")),0),0)+
IF($B$1&gt;=4,IFERROR(VALUE(SUBSTITUTE(SUBSTITUTE(TRIM(AA88),"A",""),"B","")),0),0)+
IF($B$1&gt;=5,IFERROR(VALUE(SUBSTITUTE(SUBSTITUTE(TRIM(AB88),"A",""),"B","")),0),0)+
IF($B$1&gt;=6,IFERROR(VALUE(SUBSTITUTE(SUBSTITUTE(TRIM(AC88),"A",""),"B","")),0),0)+
IF($B$1&gt;=7,IFERROR(VALUE(SUBSTITUTE(SUBSTITUTE(TRIM(AD88),"A",""),"B","")),0),0)
)</f>
        <v>0</v>
      </c>
      <c r="X88" s="3"/>
      <c r="AE88" s="19">
        <f>AH88+AK88+AN88+AQ88+AT88+AW88+AZ88</f>
        <v>0</v>
      </c>
      <c r="AG88" s="10">
        <f>SQRT(AF88)</f>
        <v>0</v>
      </c>
      <c r="AH88" s="10">
        <f>IF(AG88&gt;0,AG88/AG$6*1000, 0)</f>
        <v>0</v>
      </c>
      <c r="AI88" s="10"/>
      <c r="AJ88" s="10">
        <f>SQRT(AI88)</f>
        <v>0</v>
      </c>
      <c r="AK88" s="10">
        <f>IF(AJ88&gt;0,AJ88/AJ$6*1000, 0)</f>
        <v>0</v>
      </c>
      <c r="AM88" s="10">
        <f>SQRT(AL88)</f>
        <v>0</v>
      </c>
      <c r="AN88" s="10">
        <f>IF(AM88&gt;0,AM88/AM$6*1000, 0)</f>
        <v>0</v>
      </c>
      <c r="AY88" s="10">
        <f>SQRT(AX88)</f>
        <v>0</v>
      </c>
      <c r="AZ88" s="21">
        <f>IF(AY88&gt;0, AY88/AY$6*1000, 0)</f>
        <v>0</v>
      </c>
      <c r="BA88" s="16">
        <v>0.01</v>
      </c>
      <c r="BB88" s="15">
        <f>SQRT(BA88)</f>
        <v>0.1</v>
      </c>
      <c r="BC88" s="10">
        <f>IF(BB88&gt;0, BB88/BB$6*10000, 0)</f>
        <v>26.784512413480925</v>
      </c>
      <c r="BG88" s="17">
        <v>1</v>
      </c>
      <c r="BH88" s="40">
        <f>IF(BG88&gt;0, BG88/BG$6*2000, 0)</f>
        <v>3.7453183520599249</v>
      </c>
      <c r="BJ88" s="17"/>
      <c r="BK88" s="5"/>
      <c r="BL88" s="3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20.100000000000001" customHeight="1" x14ac:dyDescent="0.25">
      <c r="B89" s="1">
        <v>100</v>
      </c>
      <c r="C89" s="26">
        <v>83</v>
      </c>
      <c r="D89" s="1" t="str">
        <f>IF(C89&lt;B89,"▲"&amp;B89-C89,IF(C89&gt;B89,"▼"&amp;C89-B89,"—"))</f>
        <v>▲17</v>
      </c>
      <c r="E89" s="2" t="s">
        <v>105</v>
      </c>
      <c r="F89" s="27">
        <f>G89+O89+W89+AE89+BC89+BH89</f>
        <v>137.23730885279019</v>
      </c>
      <c r="G89" s="12">
        <f>IF(COUNTIF(H89:INDEX(H89:N89,$B$1),"&gt;0")=0,0,
(SUMIF(H89:INDEX(H89:N89,$B$1),"&gt;0",H89:INDEX(H89:N89,$B$1))*$B$1/COUNTIF(H89:INDEX(H89:N89,$B$1),"&gt;0"))*
IF($B$1-COUNTIF(H89:INDEX(H89:N89,$B$1),"&gt;0")&lt;=2,1,
IF($B$1-COUNTIF(H89:INDEX(H89:N89,$B$1),"&gt;0")=3,0.8,
IF($B$1-COUNTIF(H89:INDEX(H89:N89,$B$1),"&gt;0")=4,0.6,0))))</f>
        <v>41</v>
      </c>
      <c r="H89" s="3">
        <v>7</v>
      </c>
      <c r="I89" s="3">
        <v>10</v>
      </c>
      <c r="J89" s="3">
        <v>9</v>
      </c>
      <c r="K89" s="3">
        <v>7</v>
      </c>
      <c r="L89" s="3">
        <v>8</v>
      </c>
      <c r="M89" s="3"/>
      <c r="N89" s="3"/>
      <c r="O89" s="10">
        <f>0.2*IF(COUNTIF(P89:INDEX(P89:V89,$B$1),"&gt;0")=0,0,
(SUMIF(P89:INDEX(P89:V89,$B$1),"&gt;0",P89:INDEX(P89:V89,$B$1))*$B$1/COUNTIF(P89:INDEX(P89:V89,$B$1),"&gt;0"))*
IF($B$1-COUNTIF(P89:INDEX(P89:V89,$B$1),"&gt;0")&lt;=2,1,
IF($B$1-COUNTIF(P89:INDEX(P89:V89,$B$1),"&gt;0")=3,0.8,
IF($B$1-COUNTIF(P89:INDEX(P89:V89,$B$1),"&gt;0")=4,0.6,0))))</f>
        <v>32.6</v>
      </c>
      <c r="P89" s="3">
        <v>37</v>
      </c>
      <c r="Q89" s="3">
        <v>6</v>
      </c>
      <c r="R89" s="3">
        <v>40</v>
      </c>
      <c r="S89" s="3">
        <v>37</v>
      </c>
      <c r="T89" s="3">
        <v>43</v>
      </c>
      <c r="W89" s="3">
        <f>MIN(100,
IF($B$1&gt;=1,IFERROR(VALUE(SUBSTITUTE(SUBSTITUTE(TRIM(X89),"A",""),"B","")),0),0)+
IF($B$1&gt;=2,IFERROR(VALUE(SUBSTITUTE(SUBSTITUTE(TRIM(Y89),"A",""),"B","")),0),0)+
IF($B$1&gt;=3,IFERROR(VALUE(SUBSTITUTE(SUBSTITUTE(TRIM(Z89),"A",""),"B","")),0),0)+
IF($B$1&gt;=4,IFERROR(VALUE(SUBSTITUTE(SUBSTITUTE(TRIM(AA89),"A",""),"B","")),0),0)+
IF($B$1&gt;=5,IFERROR(VALUE(SUBSTITUTE(SUBSTITUTE(TRIM(AB89),"A",""),"B","")),0),0)+
IF($B$1&gt;=6,IFERROR(VALUE(SUBSTITUTE(SUBSTITUTE(TRIM(AC89),"A",""),"B","")),0),0)+
IF($B$1&gt;=7,IFERROR(VALUE(SUBSTITUTE(SUBSTITUTE(TRIM(AD89),"A",""),"B","")),0),0)
)</f>
        <v>0</v>
      </c>
      <c r="X89" s="3"/>
      <c r="AE89" s="19">
        <f>AH89+AK89+AN89+AQ89+AT89+AW89+AZ89</f>
        <v>0</v>
      </c>
      <c r="AG89" s="10">
        <f>SQRT(AF89)</f>
        <v>0</v>
      </c>
      <c r="AH89" s="10">
        <f>IF(AG89&gt;0,AG89/AG$6*1000, 0)</f>
        <v>0</v>
      </c>
      <c r="AI89" s="10"/>
      <c r="AJ89" s="10">
        <f>SQRT(AI89)</f>
        <v>0</v>
      </c>
      <c r="AK89" s="10">
        <f>IF(AJ89&gt;0,AJ89/AJ$6*1000, 0)</f>
        <v>0</v>
      </c>
      <c r="AM89" s="10">
        <f>SQRT(AL89)</f>
        <v>0</v>
      </c>
      <c r="AN89" s="10">
        <f>IF(AM89&gt;0,AM89/AM$6*1000, 0)</f>
        <v>0</v>
      </c>
      <c r="AY89" s="10">
        <f>SQRT(AX89)</f>
        <v>0</v>
      </c>
      <c r="AZ89" s="21">
        <f>IF(AY89&gt;0, AY89/AY$6*1000, 0)</f>
        <v>0</v>
      </c>
      <c r="BA89" s="16">
        <v>0.05</v>
      </c>
      <c r="BB89" s="15">
        <f>SQRT(BA89)</f>
        <v>0.22360679774997896</v>
      </c>
      <c r="BC89" s="10">
        <f>IF(BB89&gt;0, BB89/BB$6*10000, 0)</f>
        <v>59.891990500730294</v>
      </c>
      <c r="BG89" s="17">
        <v>1</v>
      </c>
      <c r="BH89" s="40">
        <f>IF(BG89&gt;0, BG89/BG$6*2000, 0)</f>
        <v>3.7453183520599249</v>
      </c>
      <c r="BJ89" s="17"/>
      <c r="BK89" s="5"/>
      <c r="BL89" s="3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s="4" customFormat="1" ht="20.100000000000001" customHeight="1" x14ac:dyDescent="0.25">
      <c r="A90" s="1"/>
      <c r="B90" s="1">
        <v>92</v>
      </c>
      <c r="C90" s="26">
        <v>84</v>
      </c>
      <c r="D90" s="1" t="str">
        <f>IF(C90&lt;B90,"▲"&amp;B90-C90,IF(C90&gt;B90,"▼"&amp;C90-B90,"—"))</f>
        <v>▲8</v>
      </c>
      <c r="E90" s="2" t="s">
        <v>101</v>
      </c>
      <c r="F90" s="27">
        <f>G90+O90+W90+AE90+BC90+BH90</f>
        <v>132.22046746966069</v>
      </c>
      <c r="G90" s="12">
        <f>IF(COUNTIF(H90:INDEX(H90:N90,$B$1),"&gt;0")=0,0,
(SUMIF(H90:INDEX(H90:N90,$B$1),"&gt;0",H90:INDEX(H90:N90,$B$1))*$B$1/COUNTIF(H90:INDEX(H90:N90,$B$1),"&gt;0"))*
IF($B$1-COUNTIF(H90:INDEX(H90:N90,$B$1),"&gt;0")&lt;=2,1,
IF($B$1-COUNTIF(H90:INDEX(H90:N90,$B$1),"&gt;0")=3,0.8,
IF($B$1-COUNTIF(H90:INDEX(H90:N90,$B$1),"&gt;0")=4,0.6,0))))</f>
        <v>67</v>
      </c>
      <c r="H90" s="3">
        <v>12</v>
      </c>
      <c r="I90" s="3">
        <v>18</v>
      </c>
      <c r="J90" s="3">
        <v>12</v>
      </c>
      <c r="K90" s="3">
        <v>13</v>
      </c>
      <c r="L90" s="3">
        <v>12</v>
      </c>
      <c r="M90" s="3"/>
      <c r="N90" s="3"/>
      <c r="O90" s="10">
        <f>0.2*IF(COUNTIF(P90:INDEX(P90:V90,$B$1),"&gt;0")=0,0,
(SUMIF(P90:INDEX(P90:V90,$B$1),"&gt;0",P90:INDEX(P90:V90,$B$1))*$B$1/COUNTIF(P90:INDEX(P90:V90,$B$1),"&gt;0"))*
IF($B$1-COUNTIF(P90:INDEX(P90:V90,$B$1),"&gt;0")&lt;=2,1,
IF($B$1-COUNTIF(P90:INDEX(P90:V90,$B$1),"&gt;0")=3,0.8,
IF($B$1-COUNTIF(P90:INDEX(P90:V90,$B$1),"&gt;0")=4,0.6,0))))</f>
        <v>27.200000000000003</v>
      </c>
      <c r="P90" s="3">
        <v>27</v>
      </c>
      <c r="Q90" s="3">
        <v>18</v>
      </c>
      <c r="R90" s="3">
        <v>29</v>
      </c>
      <c r="S90" s="3">
        <v>39</v>
      </c>
      <c r="T90" s="3">
        <v>23</v>
      </c>
      <c r="U90" s="3"/>
      <c r="V90" s="3"/>
      <c r="W90" s="3">
        <f>MIN(100,
IF($B$1&gt;=1,IFERROR(VALUE(SUBSTITUTE(SUBSTITUTE(TRIM(X90),"A",""),"B","")),0),0)+
IF($B$1&gt;=2,IFERROR(VALUE(SUBSTITUTE(SUBSTITUTE(TRIM(Y90),"A",""),"B","")),0),0)+
IF($B$1&gt;=3,IFERROR(VALUE(SUBSTITUTE(SUBSTITUTE(TRIM(Z90),"A",""),"B","")),0),0)+
IF($B$1&gt;=4,IFERROR(VALUE(SUBSTITUTE(SUBSTITUTE(TRIM(AA90),"A",""),"B","")),0),0)+
IF($B$1&gt;=5,IFERROR(VALUE(SUBSTITUTE(SUBSTITUTE(TRIM(AB90),"A",""),"B","")),0),0)+
IF($B$1&gt;=6,IFERROR(VALUE(SUBSTITUTE(SUBSTITUTE(TRIM(AC90),"A",""),"B","")),0),0)+
IF($B$1&gt;=7,IFERROR(VALUE(SUBSTITUTE(SUBSTITUTE(TRIM(AD90),"A",""),"B","")),0),0)
)</f>
        <v>0</v>
      </c>
      <c r="X90" s="3"/>
      <c r="Y90" s="3"/>
      <c r="Z90" s="3"/>
      <c r="AA90" s="3"/>
      <c r="AB90" s="3"/>
      <c r="AC90" s="3"/>
      <c r="AD90" s="3"/>
      <c r="AE90" s="19">
        <f>AH90+AK90+AN90+AQ90+AT90+AW90+AZ90</f>
        <v>0</v>
      </c>
      <c r="AF90" s="10"/>
      <c r="AG90" s="10">
        <f>SQRT(AF90)</f>
        <v>0</v>
      </c>
      <c r="AH90" s="10">
        <f>IF(AG90&gt;0,AG90/AG$6*1000, 0)</f>
        <v>0</v>
      </c>
      <c r="AI90" s="10"/>
      <c r="AJ90" s="10">
        <f>SQRT(AI90)</f>
        <v>0</v>
      </c>
      <c r="AK90" s="10">
        <f>IF(AJ90&gt;0,AJ90/AJ$6*1000, 0)</f>
        <v>0</v>
      </c>
      <c r="AL90" s="10"/>
      <c r="AM90" s="10">
        <f>SQRT(AL90)</f>
        <v>0</v>
      </c>
      <c r="AN90" s="10">
        <f>IF(AM90&gt;0,AM90/AM$6*1000, 0)</f>
        <v>0</v>
      </c>
      <c r="AO90" s="10"/>
      <c r="AP90" s="10"/>
      <c r="AQ90" s="10"/>
      <c r="AR90" s="10"/>
      <c r="AS90" s="10"/>
      <c r="AT90" s="10"/>
      <c r="AU90" s="10"/>
      <c r="AV90" s="10"/>
      <c r="AW90" s="10"/>
      <c r="AX90" s="17"/>
      <c r="AY90" s="10">
        <f>SQRT(AX90)</f>
        <v>0</v>
      </c>
      <c r="AZ90" s="21">
        <f>IF(AY90&gt;0, AY90/AY$6*1000, 0)</f>
        <v>0</v>
      </c>
      <c r="BA90" s="16">
        <v>0.01</v>
      </c>
      <c r="BB90" s="15">
        <f>SQRT(BA90)</f>
        <v>0.1</v>
      </c>
      <c r="BC90" s="10">
        <f>IF(BB90&gt;0, BB90/BB$6*10000, 0)</f>
        <v>26.784512413480925</v>
      </c>
      <c r="BD90" s="10"/>
      <c r="BE90" s="10"/>
      <c r="BF90" s="10"/>
      <c r="BG90" s="17">
        <v>3</v>
      </c>
      <c r="BH90" s="40">
        <f>IF(BG90&gt;0, BG90/BG$6*2000, 0)</f>
        <v>11.235955056179774</v>
      </c>
      <c r="BI90" s="17"/>
      <c r="BJ90" s="17"/>
      <c r="BK90" s="3"/>
      <c r="BL90" s="1"/>
      <c r="BM90" s="1"/>
      <c r="BN90" s="1"/>
    </row>
    <row r="91" spans="1:85" s="4" customFormat="1" ht="20.100000000000001" customHeight="1" x14ac:dyDescent="0.25">
      <c r="A91" s="1"/>
      <c r="B91" s="1">
        <v>87</v>
      </c>
      <c r="C91" s="26">
        <v>85</v>
      </c>
      <c r="D91" s="1" t="str">
        <f>IF(C91&lt;B91,"▲"&amp;B91-C91,IF(C91&gt;B91,"▼"&amp;C91-B91,"—"))</f>
        <v>▲2</v>
      </c>
      <c r="E91" s="2" t="s">
        <v>98</v>
      </c>
      <c r="F91" s="27">
        <f>G91+O91+W91+AE91+BC91+BH91</f>
        <v>125.32597782597884</v>
      </c>
      <c r="G91" s="12">
        <f>IF(COUNTIF(H91:INDEX(H91:N91,$B$1),"&gt;0")=0,0,
(SUMIF(H91:INDEX(H91:N91,$B$1),"&gt;0",H91:INDEX(H91:N91,$B$1))*$B$1/COUNTIF(H91:INDEX(H91:N91,$B$1),"&gt;0"))*
IF($B$1-COUNTIF(H91:INDEX(H91:N91,$B$1),"&gt;0")&lt;=2,1,
IF($B$1-COUNTIF(H91:INDEX(H91:N91,$B$1),"&gt;0")=3,0.8,
IF($B$1-COUNTIF(H91:INDEX(H91:N91,$B$1),"&gt;0")=4,0.6,0))))</f>
        <v>103</v>
      </c>
      <c r="H91" s="3">
        <v>31</v>
      </c>
      <c r="I91" s="3">
        <v>19</v>
      </c>
      <c r="J91" s="3">
        <v>4</v>
      </c>
      <c r="K91" s="3">
        <v>25</v>
      </c>
      <c r="L91" s="3">
        <v>24</v>
      </c>
      <c r="M91" s="3"/>
      <c r="N91" s="3"/>
      <c r="O91" s="10">
        <f>0.2*IF(COUNTIF(P91:INDEX(P91:V91,$B$1),"&gt;0")=0,0,
(SUMIF(P91:INDEX(P91:V91,$B$1),"&gt;0",P91:INDEX(P91:V91,$B$1))*$B$1/COUNTIF(P91:INDEX(P91:V91,$B$1),"&gt;0"))*
IF($B$1-COUNTIF(P91:INDEX(P91:V91,$B$1),"&gt;0")&lt;=2,1,
IF($B$1-COUNTIF(P91:INDEX(P91:V91,$B$1),"&gt;0")=3,0.8,
IF($B$1-COUNTIF(P91:INDEX(P91:V91,$B$1),"&gt;0")=4,0.6,0))))</f>
        <v>13.4</v>
      </c>
      <c r="P91" s="3">
        <v>28</v>
      </c>
      <c r="Q91" s="3">
        <v>13</v>
      </c>
      <c r="R91" s="3">
        <v>7</v>
      </c>
      <c r="S91" s="3">
        <v>13</v>
      </c>
      <c r="T91" s="3">
        <v>6</v>
      </c>
      <c r="U91" s="3"/>
      <c r="V91" s="3"/>
      <c r="W91" s="3">
        <f>MIN(100,
IF($B$1&gt;=1,IFERROR(VALUE(SUBSTITUTE(SUBSTITUTE(TRIM(X91),"A",""),"B","")),0),0)+
IF($B$1&gt;=2,IFERROR(VALUE(SUBSTITUTE(SUBSTITUTE(TRIM(Y91),"A",""),"B","")),0),0)+
IF($B$1&gt;=3,IFERROR(VALUE(SUBSTITUTE(SUBSTITUTE(TRIM(Z91),"A",""),"B","")),0),0)+
IF($B$1&gt;=4,IFERROR(VALUE(SUBSTITUTE(SUBSTITUTE(TRIM(AA91),"A",""),"B","")),0),0)+
IF($B$1&gt;=5,IFERROR(VALUE(SUBSTITUTE(SUBSTITUTE(TRIM(AB91),"A",""),"B","")),0),0)+
IF($B$1&gt;=6,IFERROR(VALUE(SUBSTITUTE(SUBSTITUTE(TRIM(AC91),"A",""),"B","")),0),0)+
IF($B$1&gt;=7,IFERROR(VALUE(SUBSTITUTE(SUBSTITUTE(TRIM(AD91),"A",""),"B","")),0),0)
)</f>
        <v>0</v>
      </c>
      <c r="X91" s="3"/>
      <c r="Y91" s="3"/>
      <c r="Z91" s="3"/>
      <c r="AA91" s="3"/>
      <c r="AB91" s="3"/>
      <c r="AC91" s="3"/>
      <c r="AD91" s="3"/>
      <c r="AE91" s="19">
        <f>AH91+AK91+AN91+AQ91+AT91+AW91+AZ91</f>
        <v>8.9259778259788263</v>
      </c>
      <c r="AF91" s="10"/>
      <c r="AG91" s="10">
        <f>SQRT(AF91)</f>
        <v>0</v>
      </c>
      <c r="AH91" s="10">
        <f>IF(AG91&gt;0,AG91/AG$6*1000, 0)</f>
        <v>0</v>
      </c>
      <c r="AI91" s="10">
        <v>0.1</v>
      </c>
      <c r="AJ91" s="10">
        <f>SQRT(AI91)</f>
        <v>0.31622776601683794</v>
      </c>
      <c r="AK91" s="10">
        <f>IF(AJ91&gt;0,AJ91/AJ$6*1000, 0)</f>
        <v>8.9259778259788263</v>
      </c>
      <c r="AL91" s="10"/>
      <c r="AM91" s="10">
        <f>SQRT(AL91)</f>
        <v>0</v>
      </c>
      <c r="AN91" s="10">
        <f>IF(AM91&gt;0,AM91/AM$6*1000, 0)</f>
        <v>0</v>
      </c>
      <c r="AO91" s="10"/>
      <c r="AP91" s="10"/>
      <c r="AQ91" s="10"/>
      <c r="AR91" s="10"/>
      <c r="AS91" s="10"/>
      <c r="AT91" s="10"/>
      <c r="AU91" s="10"/>
      <c r="AV91" s="10"/>
      <c r="AW91" s="10"/>
      <c r="AX91" s="17"/>
      <c r="AY91" s="10">
        <f>SQRT(AX91)</f>
        <v>0</v>
      </c>
      <c r="AZ91" s="21">
        <f>IF(AY91&gt;0, AY91/AY$6*1000, 0)</f>
        <v>0</v>
      </c>
      <c r="BA91" s="16"/>
      <c r="BB91" s="15">
        <f>SQRT(BA91)</f>
        <v>0</v>
      </c>
      <c r="BC91" s="10">
        <f>IF(BB91&gt;0, BB91/BB$6*10000, 0)</f>
        <v>0</v>
      </c>
      <c r="BD91" s="10"/>
      <c r="BE91" s="10"/>
      <c r="BF91" s="10"/>
      <c r="BG91" s="17"/>
      <c r="BH91" s="40">
        <f>IF(BG91&gt;0, BG91/BG$6*2000, 0)</f>
        <v>0</v>
      </c>
      <c r="BI91" s="17"/>
      <c r="BJ91" s="17"/>
      <c r="BK91" s="3"/>
      <c r="BL91" s="1"/>
      <c r="BM91" s="1"/>
      <c r="BN91" s="1"/>
    </row>
    <row r="92" spans="1:85" ht="20.100000000000001" customHeight="1" x14ac:dyDescent="0.25">
      <c r="B92" s="1">
        <v>84</v>
      </c>
      <c r="C92" s="26">
        <v>86</v>
      </c>
      <c r="D92" s="1" t="str">
        <f>IF(C92&lt;B92,"▲"&amp;B92-C92,IF(C92&gt;B92,"▼"&amp;C92-B92,"—"))</f>
        <v>▼2</v>
      </c>
      <c r="E92" s="2" t="s">
        <v>103</v>
      </c>
      <c r="F92" s="27">
        <f>G92+O92+W92+AE92+BC92+BH92</f>
        <v>111.9511790801476</v>
      </c>
      <c r="G92" s="12">
        <f>IF(COUNTIF(H92:INDEX(H92:N92,$B$1),"&gt;0")=0,0,
(SUMIF(H92:INDEX(H92:N92,$B$1),"&gt;0",H92:INDEX(H92:N92,$B$1))*$B$1/COUNTIF(H92:INDEX(H92:N92,$B$1),"&gt;0"))*
IF($B$1-COUNTIF(H92:INDEX(H92:N92,$B$1),"&gt;0")&lt;=2,1,
IF($B$1-COUNTIF(H92:INDEX(H92:N92,$B$1),"&gt;0")=3,0.8,
IF($B$1-COUNTIF(H92:INDEX(H92:N92,$B$1),"&gt;0")=4,0.6,0))))</f>
        <v>76.666666666666671</v>
      </c>
      <c r="H92" s="3">
        <v>-1</v>
      </c>
      <c r="I92" s="3">
        <v>22</v>
      </c>
      <c r="J92" s="3">
        <v>10</v>
      </c>
      <c r="K92" s="3">
        <v>-1</v>
      </c>
      <c r="L92" s="3">
        <v>14</v>
      </c>
      <c r="M92" s="3"/>
      <c r="N92" s="3"/>
      <c r="O92" s="10">
        <f>0.2*IF(COUNTIF(P92:INDEX(P92:V92,$B$1),"&gt;0")=0,0,
(SUMIF(P92:INDEX(P92:V92,$B$1),"&gt;0",P92:INDEX(P92:V92,$B$1))*$B$1/COUNTIF(P92:INDEX(P92:V92,$B$1),"&gt;0"))*
IF($B$1-COUNTIF(P92:INDEX(P92:V92,$B$1),"&gt;0")&lt;=2,1,
IF($B$1-COUNTIF(P92:INDEX(P92:V92,$B$1),"&gt;0")=3,0.8,
IF($B$1-COUNTIF(P92:INDEX(P92:V92,$B$1),"&gt;0")=4,0.6,0))))</f>
        <v>8.5</v>
      </c>
      <c r="P92" s="3">
        <v>-1</v>
      </c>
      <c r="Q92" s="3">
        <v>16</v>
      </c>
      <c r="R92" s="3">
        <v>5</v>
      </c>
      <c r="S92" s="3">
        <v>6</v>
      </c>
      <c r="T92" s="3">
        <v>7</v>
      </c>
      <c r="W92" s="3">
        <f>MIN(100,
IF($B$1&gt;=1,IFERROR(VALUE(SUBSTITUTE(SUBSTITUTE(TRIM(X92),"A",""),"B","")),0),0)+
IF($B$1&gt;=2,IFERROR(VALUE(SUBSTITUTE(SUBSTITUTE(TRIM(Y92),"A",""),"B","")),0),0)+
IF($B$1&gt;=3,IFERROR(VALUE(SUBSTITUTE(SUBSTITUTE(TRIM(Z92),"A",""),"B","")),0),0)+
IF($B$1&gt;=4,IFERROR(VALUE(SUBSTITUTE(SUBSTITUTE(TRIM(AA92),"A",""),"B","")),0),0)+
IF($B$1&gt;=5,IFERROR(VALUE(SUBSTITUTE(SUBSTITUTE(TRIM(AB92),"A",""),"B","")),0),0)+
IF($B$1&gt;=6,IFERROR(VALUE(SUBSTITUTE(SUBSTITUTE(TRIM(AC92),"A",""),"B","")),0),0)+
IF($B$1&gt;=7,IFERROR(VALUE(SUBSTITUTE(SUBSTITUTE(TRIM(AD92),"A",""),"B","")),0),0)
)</f>
        <v>0</v>
      </c>
      <c r="X92" s="3"/>
      <c r="AE92" s="19">
        <f>AH92+AK92+AN92+AQ92+AT92+AW92+AZ92</f>
        <v>0</v>
      </c>
      <c r="AG92" s="10">
        <f>SQRT(AF92)</f>
        <v>0</v>
      </c>
      <c r="AH92" s="10">
        <f>IF(AG92&gt;0,AG92/AG$6*1000, 0)</f>
        <v>0</v>
      </c>
      <c r="AI92" s="10"/>
      <c r="AJ92" s="10">
        <f>SQRT(AI92)</f>
        <v>0</v>
      </c>
      <c r="AK92" s="10">
        <f>IF(AJ92&gt;0,AJ92/AJ$6*1000, 0)</f>
        <v>0</v>
      </c>
      <c r="AM92" s="10">
        <f>SQRT(AL92)</f>
        <v>0</v>
      </c>
      <c r="AN92" s="10">
        <f>IF(AM92&gt;0,AM92/AM$6*1000, 0)</f>
        <v>0</v>
      </c>
      <c r="AY92" s="10">
        <f>SQRT(AX92)</f>
        <v>0</v>
      </c>
      <c r="AZ92" s="21">
        <f>IF(AY92&gt;0, AY92/AY$6*1000, 0)</f>
        <v>0</v>
      </c>
      <c r="BA92" s="16">
        <v>0.01</v>
      </c>
      <c r="BB92" s="15">
        <f>SQRT(BA92)</f>
        <v>0.1</v>
      </c>
      <c r="BC92" s="10">
        <f>IF(BB92&gt;0, BB92/BB$6*10000, 0)</f>
        <v>26.784512413480925</v>
      </c>
      <c r="BG92" s="17"/>
      <c r="BH92" s="40">
        <f>IF(BG92&gt;0, BG92/BG$6*2000, 0)</f>
        <v>0</v>
      </c>
      <c r="BJ92" s="17"/>
      <c r="BK92" s="3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20.100000000000001" customHeight="1" x14ac:dyDescent="0.25">
      <c r="B93" s="1">
        <v>89</v>
      </c>
      <c r="C93" s="26">
        <v>87</v>
      </c>
      <c r="D93" s="1" t="str">
        <f>IF(C93&lt;B93,"▲"&amp;B93-C93,IF(C93&gt;B93,"▼"&amp;C93-B93,"—"))</f>
        <v>▲2</v>
      </c>
      <c r="E93" s="2" t="s">
        <v>100</v>
      </c>
      <c r="F93" s="27">
        <f>G93+O93+W93+AE93+BC93+BH93</f>
        <v>107.8</v>
      </c>
      <c r="G93" s="12">
        <f>IF(COUNTIF(H93:INDEX(H93:N93,$B$1),"&gt;0")=0,0,
(SUMIF(H93:INDEX(H93:N93,$B$1),"&gt;0",H93:INDEX(H93:N93,$B$1))*$B$1/COUNTIF(H93:INDEX(H93:N93,$B$1),"&gt;0"))*
IF($B$1-COUNTIF(H93:INDEX(H93:N93,$B$1),"&gt;0")&lt;=2,1,
IF($B$1-COUNTIF(H93:INDEX(H93:N93,$B$1),"&gt;0")=3,0.8,
IF($B$1-COUNTIF(H93:INDEX(H93:N93,$B$1),"&gt;0")=4,0.6,0))))</f>
        <v>90</v>
      </c>
      <c r="H93" s="3">
        <v>20</v>
      </c>
      <c r="I93" s="3">
        <v>18</v>
      </c>
      <c r="J93" s="3">
        <v>12</v>
      </c>
      <c r="K93" s="3">
        <v>12</v>
      </c>
      <c r="L93" s="3">
        <v>28</v>
      </c>
      <c r="M93" s="3"/>
      <c r="N93" s="3"/>
      <c r="O93" s="10">
        <f>0.2*IF(COUNTIF(P93:INDEX(P93:V93,$B$1),"&gt;0")=0,0,
(SUMIF(P93:INDEX(P93:V93,$B$1),"&gt;0",P93:INDEX(P93:V93,$B$1))*$B$1/COUNTIF(P93:INDEX(P93:V93,$B$1),"&gt;0"))*
IF($B$1-COUNTIF(P93:INDEX(P93:V93,$B$1),"&gt;0")&lt;=2,1,
IF($B$1-COUNTIF(P93:INDEX(P93:V93,$B$1),"&gt;0")=3,0.8,
IF($B$1-COUNTIF(P93:INDEX(P93:V93,$B$1),"&gt;0")=4,0.6,0))))</f>
        <v>17.8</v>
      </c>
      <c r="P93" s="3">
        <v>18</v>
      </c>
      <c r="Q93" s="3">
        <v>9</v>
      </c>
      <c r="R93" s="3">
        <v>17</v>
      </c>
      <c r="S93" s="3">
        <v>19</v>
      </c>
      <c r="T93" s="3">
        <v>26</v>
      </c>
      <c r="W93" s="3">
        <f>MIN(100,
IF($B$1&gt;=1,IFERROR(VALUE(SUBSTITUTE(SUBSTITUTE(TRIM(X93),"A",""),"B","")),0),0)+
IF($B$1&gt;=2,IFERROR(VALUE(SUBSTITUTE(SUBSTITUTE(TRIM(Y93),"A",""),"B","")),0),0)+
IF($B$1&gt;=3,IFERROR(VALUE(SUBSTITUTE(SUBSTITUTE(TRIM(Z93),"A",""),"B","")),0),0)+
IF($B$1&gt;=4,IFERROR(VALUE(SUBSTITUTE(SUBSTITUTE(TRIM(AA93),"A",""),"B","")),0),0)+
IF($B$1&gt;=5,IFERROR(VALUE(SUBSTITUTE(SUBSTITUTE(TRIM(AB93),"A",""),"B","")),0),0)+
IF($B$1&gt;=6,IFERROR(VALUE(SUBSTITUTE(SUBSTITUTE(TRIM(AC93),"A",""),"B","")),0),0)+
IF($B$1&gt;=7,IFERROR(VALUE(SUBSTITUTE(SUBSTITUTE(TRIM(AD93),"A",""),"B","")),0),0)
)</f>
        <v>0</v>
      </c>
      <c r="X93" s="3"/>
      <c r="AE93" s="19">
        <f>AH93+AK93+AN93+AQ93+AT93+AW93+AZ93</f>
        <v>0</v>
      </c>
      <c r="AG93" s="10">
        <f>SQRT(AF93)</f>
        <v>0</v>
      </c>
      <c r="AH93" s="10">
        <f>IF(AG93&gt;0,AG93/AG$6*1000, 0)</f>
        <v>0</v>
      </c>
      <c r="AI93" s="10"/>
      <c r="AJ93" s="10">
        <f>SQRT(AI93)</f>
        <v>0</v>
      </c>
      <c r="AK93" s="10">
        <f>IF(AJ93&gt;0,AJ93/AJ$6*1000, 0)</f>
        <v>0</v>
      </c>
      <c r="AM93" s="10">
        <f>SQRT(AL93)</f>
        <v>0</v>
      </c>
      <c r="AN93" s="10">
        <f>IF(AM93&gt;0,AM93/AM$6*1000, 0)</f>
        <v>0</v>
      </c>
      <c r="AY93" s="10">
        <f>SQRT(AX93)</f>
        <v>0</v>
      </c>
      <c r="AZ93" s="21">
        <f>IF(AY93&gt;0, AY93/AY$6*1000, 0)</f>
        <v>0</v>
      </c>
      <c r="BB93" s="15">
        <f>SQRT(BA93)</f>
        <v>0</v>
      </c>
      <c r="BC93" s="10">
        <f>IF(BB93&gt;0, BB93/BB$6*10000, 0)</f>
        <v>0</v>
      </c>
      <c r="BG93" s="17"/>
      <c r="BH93" s="40">
        <f>IF(BG93&gt;0, BG93/BG$6*2000, 0)</f>
        <v>0</v>
      </c>
      <c r="BJ93" s="17"/>
      <c r="BK93" s="3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20.100000000000001" customHeight="1" x14ac:dyDescent="0.25">
      <c r="B94" s="1">
        <v>86</v>
      </c>
      <c r="C94" s="26">
        <v>88</v>
      </c>
      <c r="D94" s="1" t="str">
        <f>IF(C94&lt;B94,"▲"&amp;B94-C94,IF(C94&gt;B94,"▼"&amp;C94-B94,"—"))</f>
        <v>▼2</v>
      </c>
      <c r="E94" s="2" t="s">
        <v>104</v>
      </c>
      <c r="F94" s="27">
        <f>G94+O94+W94+AE94+BC94+BH94</f>
        <v>84.184512413480931</v>
      </c>
      <c r="G94" s="12">
        <f>IF(COUNTIF(H94:INDEX(H94:N94,$B$1),"&gt;0")=0,0,
(SUMIF(H94:INDEX(H94:N94,$B$1),"&gt;0",H94:INDEX(H94:N94,$B$1))*$B$1/COUNTIF(H94:INDEX(H94:N94,$B$1),"&gt;0"))*
IF($B$1-COUNTIF(H94:INDEX(H94:N94,$B$1),"&gt;0")&lt;=2,1,
IF($B$1-COUNTIF(H94:INDEX(H94:N94,$B$1),"&gt;0")=3,0.8,
IF($B$1-COUNTIF(H94:INDEX(H94:N94,$B$1),"&gt;0")=4,0.6,0))))</f>
        <v>41</v>
      </c>
      <c r="H94" s="3">
        <v>7</v>
      </c>
      <c r="I94" s="3">
        <v>16</v>
      </c>
      <c r="J94" s="3">
        <v>14</v>
      </c>
      <c r="K94" s="3">
        <v>3</v>
      </c>
      <c r="L94" s="3">
        <v>1</v>
      </c>
      <c r="M94" s="3"/>
      <c r="N94" s="3"/>
      <c r="O94" s="10">
        <f>0.2*IF(COUNTIF(P94:INDEX(P94:V94,$B$1),"&gt;0")=0,0,
(SUMIF(P94:INDEX(P94:V94,$B$1),"&gt;0",P94:INDEX(P94:V94,$B$1))*$B$1/COUNTIF(P94:INDEX(P94:V94,$B$1),"&gt;0"))*
IF($B$1-COUNTIF(P94:INDEX(P94:V94,$B$1),"&gt;0")&lt;=2,1,
IF($B$1-COUNTIF(P94:INDEX(P94:V94,$B$1),"&gt;0")=3,0.8,
IF($B$1-COUNTIF(P94:INDEX(P94:V94,$B$1),"&gt;0")=4,0.6,0))))</f>
        <v>16.400000000000002</v>
      </c>
      <c r="P94" s="3">
        <v>24</v>
      </c>
      <c r="Q94" s="3">
        <v>20</v>
      </c>
      <c r="R94" s="3">
        <v>23</v>
      </c>
      <c r="S94" s="3">
        <v>6</v>
      </c>
      <c r="T94" s="3">
        <v>9</v>
      </c>
      <c r="W94" s="3">
        <f>MIN(100,
IF($B$1&gt;=1,IFERROR(VALUE(SUBSTITUTE(SUBSTITUTE(TRIM(X94),"A",""),"B","")),0),0)+
IF($B$1&gt;=2,IFERROR(VALUE(SUBSTITUTE(SUBSTITUTE(TRIM(Y94),"A",""),"B","")),0),0)+
IF($B$1&gt;=3,IFERROR(VALUE(SUBSTITUTE(SUBSTITUTE(TRIM(Z94),"A",""),"B","")),0),0)+
IF($B$1&gt;=4,IFERROR(VALUE(SUBSTITUTE(SUBSTITUTE(TRIM(AA94),"A",""),"B","")),0),0)+
IF($B$1&gt;=5,IFERROR(VALUE(SUBSTITUTE(SUBSTITUTE(TRIM(AB94),"A",""),"B","")),0),0)+
IF($B$1&gt;=6,IFERROR(VALUE(SUBSTITUTE(SUBSTITUTE(TRIM(AC94),"A",""),"B","")),0),0)+
IF($B$1&gt;=7,IFERROR(VALUE(SUBSTITUTE(SUBSTITUTE(TRIM(AD94),"A",""),"B","")),0),0)
)</f>
        <v>0</v>
      </c>
      <c r="X94" s="3"/>
      <c r="AE94" s="19">
        <f>AH94+AK94+AN94+AQ94+AT94+AW94+AZ94</f>
        <v>0</v>
      </c>
      <c r="AG94" s="10">
        <f>SQRT(AF94)</f>
        <v>0</v>
      </c>
      <c r="AH94" s="10">
        <f>IF(AG94&gt;0,AG94/AG$6*1000, 0)</f>
        <v>0</v>
      </c>
      <c r="AI94" s="10"/>
      <c r="AJ94" s="10">
        <f>SQRT(AI94)</f>
        <v>0</v>
      </c>
      <c r="AK94" s="10">
        <f>IF(AJ94&gt;0,AJ94/AJ$6*1000, 0)</f>
        <v>0</v>
      </c>
      <c r="AM94" s="10">
        <f>SQRT(AL94)</f>
        <v>0</v>
      </c>
      <c r="AN94" s="10">
        <f>IF(AM94&gt;0,AM94/AM$6*1000, 0)</f>
        <v>0</v>
      </c>
      <c r="AY94" s="10">
        <f>SQRT(AX94)</f>
        <v>0</v>
      </c>
      <c r="AZ94" s="21">
        <f>IF(AY94&gt;0, AY94/AY$6*1000, 0)</f>
        <v>0</v>
      </c>
      <c r="BA94" s="16">
        <v>0.01</v>
      </c>
      <c r="BB94" s="15">
        <f>SQRT(BA94)</f>
        <v>0.1</v>
      </c>
      <c r="BC94" s="10">
        <f>IF(BB94&gt;0, BB94/BB$6*10000, 0)</f>
        <v>26.784512413480925</v>
      </c>
      <c r="BG94" s="17"/>
      <c r="BH94" s="40">
        <f>IF(BG94&gt;0, BG94/BG$6*2000, 0)</f>
        <v>0</v>
      </c>
      <c r="BJ94" s="17"/>
      <c r="BK94" s="3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20.100000000000001" customHeight="1" x14ac:dyDescent="0.25">
      <c r="B95" s="1">
        <v>91</v>
      </c>
      <c r="C95" s="26">
        <v>89</v>
      </c>
      <c r="D95" s="1" t="str">
        <f>IF(C95&lt;B95,"▲"&amp;B95-C95,IF(C95&gt;B95,"▼"&amp;C95-B95,"—"))</f>
        <v>▲2</v>
      </c>
      <c r="E95" s="2" t="s">
        <v>92</v>
      </c>
      <c r="F95" s="27">
        <f>G95+O95+W95+AE95+BC95+BH95</f>
        <v>68.545318352059923</v>
      </c>
      <c r="G95" s="12">
        <f>IF(COUNTIF(H95:INDEX(H95:N95,$B$1),"&gt;0")=0,0,
(SUMIF(H95:INDEX(H95:N95,$B$1),"&gt;0",H95:INDEX(H95:N95,$B$1))*$B$1/COUNTIF(H95:INDEX(H95:N95,$B$1),"&gt;0"))*
IF($B$1-COUNTIF(H95:INDEX(H95:N95,$B$1),"&gt;0")&lt;=2,1,
IF($B$1-COUNTIF(H95:INDEX(H95:N95,$B$1),"&gt;0")=3,0.8,
IF($B$1-COUNTIF(H95:INDEX(H95:N95,$B$1),"&gt;0")=4,0.6,0))))</f>
        <v>54</v>
      </c>
      <c r="H95" s="3">
        <v>23</v>
      </c>
      <c r="I95" s="3">
        <v>-2</v>
      </c>
      <c r="J95" s="3">
        <v>-2</v>
      </c>
      <c r="K95" s="3">
        <v>4</v>
      </c>
      <c r="L95" s="3">
        <v>-2</v>
      </c>
      <c r="M95" s="3"/>
      <c r="N95" s="3"/>
      <c r="O95" s="10">
        <f>0.2*IF(COUNTIF(P95:INDEX(P95:V95,$B$1),"&gt;0")=0,0,
(SUMIF(P95:INDEX(P95:V95,$B$1),"&gt;0",P95:INDEX(P95:V95,$B$1))*$B$1/COUNTIF(P95:INDEX(P95:V95,$B$1),"&gt;0"))*
IF($B$1-COUNTIF(P95:INDEX(P95:V95,$B$1),"&gt;0")&lt;=2,1,
IF($B$1-COUNTIF(P95:INDEX(P95:V95,$B$1),"&gt;0")=3,0.8,
IF($B$1-COUNTIF(P95:INDEX(P95:V95,$B$1),"&gt;0")=4,0.6,0))))</f>
        <v>10.8</v>
      </c>
      <c r="P95" s="3">
        <v>18</v>
      </c>
      <c r="Q95" s="3">
        <v>-1</v>
      </c>
      <c r="R95" s="3">
        <v>-2</v>
      </c>
      <c r="S95" s="3">
        <v>9</v>
      </c>
      <c r="T95" s="3">
        <v>-2</v>
      </c>
      <c r="W95" s="3">
        <f>MIN(100,
IF($B$1&gt;=1,IFERROR(VALUE(SUBSTITUTE(SUBSTITUTE(TRIM(X95),"A",""),"B","")),0),0)+
IF($B$1&gt;=2,IFERROR(VALUE(SUBSTITUTE(SUBSTITUTE(TRIM(Y95),"A",""),"B","")),0),0)+
IF($B$1&gt;=3,IFERROR(VALUE(SUBSTITUTE(SUBSTITUTE(TRIM(Z95),"A",""),"B","")),0),0)+
IF($B$1&gt;=4,IFERROR(VALUE(SUBSTITUTE(SUBSTITUTE(TRIM(AA95),"A",""),"B","")),0),0)+
IF($B$1&gt;=5,IFERROR(VALUE(SUBSTITUTE(SUBSTITUTE(TRIM(AB95),"A",""),"B","")),0),0)+
IF($B$1&gt;=6,IFERROR(VALUE(SUBSTITUTE(SUBSTITUTE(TRIM(AC95),"A",""),"B","")),0),0)+
IF($B$1&gt;=7,IFERROR(VALUE(SUBSTITUTE(SUBSTITUTE(TRIM(AD95),"A",""),"B","")),0),0)
)</f>
        <v>0</v>
      </c>
      <c r="X95" s="3"/>
      <c r="AE95" s="19">
        <f>AH95+AK95+AN95+AQ95+AT95+AW95+AZ95</f>
        <v>0</v>
      </c>
      <c r="AG95" s="10">
        <f>SQRT(AF95)</f>
        <v>0</v>
      </c>
      <c r="AH95" s="10">
        <f>IF(AG95&gt;0,AG95/AG$6*1000, 0)</f>
        <v>0</v>
      </c>
      <c r="AI95" s="10"/>
      <c r="AJ95" s="10">
        <f>SQRT(AI95)</f>
        <v>0</v>
      </c>
      <c r="AK95" s="10">
        <f>IF(AJ95&gt;0,AJ95/AJ$6*1000, 0)</f>
        <v>0</v>
      </c>
      <c r="AM95" s="10">
        <f>SQRT(AL95)</f>
        <v>0</v>
      </c>
      <c r="AN95" s="10">
        <f>IF(AM95&gt;0,AM95/AM$6*1000, 0)</f>
        <v>0</v>
      </c>
      <c r="AY95" s="10">
        <f>SQRT(AX95)</f>
        <v>0</v>
      </c>
      <c r="AZ95" s="21">
        <f>IF(AY95&gt;0, AY95/AY$6*1000, 0)</f>
        <v>0</v>
      </c>
      <c r="BB95" s="15">
        <f>SQRT(BA95)</f>
        <v>0</v>
      </c>
      <c r="BC95" s="10">
        <f>IF(BB95&gt;0, BB95/BB$6*10000, 0)</f>
        <v>0</v>
      </c>
      <c r="BG95" s="17">
        <v>1</v>
      </c>
      <c r="BH95" s="40">
        <f>IF(BG95&gt;0, BG95/BG$6*2000, 0)</f>
        <v>3.7453183520599249</v>
      </c>
      <c r="BJ95" s="17"/>
      <c r="BK95" s="3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20.100000000000001" customHeight="1" x14ac:dyDescent="0.25">
      <c r="B96" s="1">
        <v>78</v>
      </c>
      <c r="C96" s="26">
        <v>90</v>
      </c>
      <c r="D96" s="1" t="str">
        <f>IF(C96&lt;B96,"▲"&amp;B96-C96,IF(C96&gt;B96,"▼"&amp;C96-B96,"—"))</f>
        <v>▼12</v>
      </c>
      <c r="E96" s="2" t="s">
        <v>127</v>
      </c>
      <c r="F96" s="27">
        <f>G96+O96+W96+AE96+BC96+BH96</f>
        <v>23.490636704119851</v>
      </c>
      <c r="G96" s="12">
        <f>IF(COUNTIF(H96:INDEX(H96:N96,$B$1),"&gt;0")=0,0,
(SUMIF(H96:INDEX(H96:N96,$B$1),"&gt;0",H96:INDEX(H96:N96,$B$1))*$B$1/COUNTIF(H96:INDEX(H96:N96,$B$1),"&gt;0"))*
IF($B$1-COUNTIF(H96:INDEX(H96:N96,$B$1),"&gt;0")&lt;=2,1,
IF($B$1-COUNTIF(H96:INDEX(H96:N96,$B$1),"&gt;0")=3,0.8,
IF($B$1-COUNTIF(H96:INDEX(H96:N96,$B$1),"&gt;0")=4,0.6,0))))</f>
        <v>12</v>
      </c>
      <c r="H96" s="3">
        <v>-1</v>
      </c>
      <c r="I96" s="3">
        <v>-1</v>
      </c>
      <c r="J96" s="3">
        <v>-1</v>
      </c>
      <c r="K96" s="3">
        <v>-1</v>
      </c>
      <c r="L96" s="3">
        <v>4</v>
      </c>
      <c r="M96" s="3"/>
      <c r="N96" s="3"/>
      <c r="O96" s="10">
        <f>0.2*IF(COUNTIF(P96:INDEX(P96:V96,$B$1),"&gt;0")=0,0,
(SUMIF(P96:INDEX(P96:V96,$B$1),"&gt;0",P96:INDEX(P96:V96,$B$1))*$B$1/COUNTIF(P96:INDEX(P96:V96,$B$1),"&gt;0"))*
IF($B$1-COUNTIF(P96:INDEX(P96:V96,$B$1),"&gt;0")&lt;=2,1,
IF($B$1-COUNTIF(P96:INDEX(P96:V96,$B$1),"&gt;0")=3,0.8,
IF($B$1-COUNTIF(P96:INDEX(P96:V96,$B$1),"&gt;0")=4,0.6,0))))</f>
        <v>4</v>
      </c>
      <c r="P96" s="3">
        <v>-1</v>
      </c>
      <c r="Q96" s="3">
        <v>-1</v>
      </c>
      <c r="R96" s="3">
        <v>-1</v>
      </c>
      <c r="S96" s="3">
        <v>1</v>
      </c>
      <c r="T96" s="3">
        <v>9</v>
      </c>
      <c r="W96" s="3">
        <f>MIN(100,
IF($B$1&gt;=1,IFERROR(VALUE(SUBSTITUTE(SUBSTITUTE(TRIM(X96),"A",""),"B","")),0),0)+
IF($B$1&gt;=2,IFERROR(VALUE(SUBSTITUTE(SUBSTITUTE(TRIM(Y96),"A",""),"B","")),0),0)+
IF($B$1&gt;=3,IFERROR(VALUE(SUBSTITUTE(SUBSTITUTE(TRIM(Z96),"A",""),"B","")),0),0)+
IF($B$1&gt;=4,IFERROR(VALUE(SUBSTITUTE(SUBSTITUTE(TRIM(AA96),"A",""),"B","")),0),0)+
IF($B$1&gt;=5,IFERROR(VALUE(SUBSTITUTE(SUBSTITUTE(TRIM(AB96),"A",""),"B","")),0),0)+
IF($B$1&gt;=6,IFERROR(VALUE(SUBSTITUTE(SUBSTITUTE(TRIM(AC96),"A",""),"B","")),0),0)+
IF($B$1&gt;=7,IFERROR(VALUE(SUBSTITUTE(SUBSTITUTE(TRIM(AD96),"A",""),"B","")),0),0)
)</f>
        <v>0</v>
      </c>
      <c r="X96" s="3"/>
      <c r="AE96" s="19">
        <f>AH96+AK96+AN96+AQ96+AT96+AW96+AZ96</f>
        <v>0</v>
      </c>
      <c r="AG96" s="10">
        <f>SQRT(AF96)</f>
        <v>0</v>
      </c>
      <c r="AH96" s="10">
        <f>IF(AG96&gt;0,AG96/AG$6*1000, 0)</f>
        <v>0</v>
      </c>
      <c r="AI96" s="10"/>
      <c r="AJ96" s="10">
        <f>SQRT(AI96)</f>
        <v>0</v>
      </c>
      <c r="AK96" s="10">
        <f>IF(AJ96&gt;0,AJ96/AJ$6*1000, 0)</f>
        <v>0</v>
      </c>
      <c r="AM96" s="10">
        <f>SQRT(AL96)</f>
        <v>0</v>
      </c>
      <c r="AN96" s="10">
        <f>IF(AM96&gt;0,AM96/AM$6*1000, 0)</f>
        <v>0</v>
      </c>
      <c r="AY96" s="10">
        <f>SQRT(AX96)</f>
        <v>0</v>
      </c>
      <c r="AZ96" s="21">
        <f>IF(AY96&gt;0, AY96/AY$6*1000, 0)</f>
        <v>0</v>
      </c>
      <c r="BB96" s="15">
        <f>SQRT(BA96)</f>
        <v>0</v>
      </c>
      <c r="BC96" s="10">
        <f>IF(BB96&gt;0, BB96/BB$6*10000, 0)</f>
        <v>0</v>
      </c>
      <c r="BG96" s="17">
        <v>2</v>
      </c>
      <c r="BH96" s="40">
        <f>IF(BG96&gt;0, BG96/BG$6*2000, 0)</f>
        <v>7.4906367041198498</v>
      </c>
      <c r="BJ96" s="17"/>
      <c r="BK96" s="3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20.100000000000001" customHeight="1" x14ac:dyDescent="0.25">
      <c r="B97" s="1">
        <v>100</v>
      </c>
      <c r="C97" s="26">
        <v>91</v>
      </c>
      <c r="D97" s="1" t="str">
        <f>IF(C97&lt;B97,"▲"&amp;B97-C97,IF(C97&gt;B97,"▼"&amp;C97-B97,"—"))</f>
        <v>▲9</v>
      </c>
      <c r="E97" s="2" t="s">
        <v>128</v>
      </c>
      <c r="F97" s="27">
        <f>G97+O97+W97+AE97+BC97+BH97</f>
        <v>10</v>
      </c>
      <c r="G97" s="12">
        <f>IF(COUNTIF(H97:INDEX(H97:N97,$B$1),"&gt;0")=0,0,
(SUMIF(H97:INDEX(H97:N97,$B$1),"&gt;0",H97:INDEX(H97:N97,$B$1))*$B$1/COUNTIF(H97:INDEX(H97:N97,$B$1),"&gt;0"))*
IF($B$1-COUNTIF(H97:INDEX(H97:N97,$B$1),"&gt;0")&lt;=2,1,
IF($B$1-COUNTIF(H97:INDEX(H97:N97,$B$1),"&gt;0")=3,0.8,
IF($B$1-COUNTIF(H97:INDEX(H97:N97,$B$1),"&gt;0")=4,0.6,0))))</f>
        <v>6</v>
      </c>
      <c r="H97" s="3">
        <v>-1</v>
      </c>
      <c r="I97" s="3">
        <v>-1</v>
      </c>
      <c r="J97" s="3">
        <v>-1</v>
      </c>
      <c r="K97" s="3">
        <v>-1</v>
      </c>
      <c r="L97" s="3">
        <v>2</v>
      </c>
      <c r="M97" s="3"/>
      <c r="N97" s="3"/>
      <c r="O97" s="10">
        <f>0.2*IF(COUNTIF(P97:INDEX(P97:V97,$B$1),"&gt;0")=0,0,
(SUMIF(P97:INDEX(P97:V97,$B$1),"&gt;0",P97:INDEX(P97:V97,$B$1))*$B$1/COUNTIF(P97:INDEX(P97:V97,$B$1),"&gt;0"))*
IF($B$1-COUNTIF(P97:INDEX(P97:V97,$B$1),"&gt;0")&lt;=2,1,
IF($B$1-COUNTIF(P97:INDEX(P97:V97,$B$1),"&gt;0")=3,0.8,
IF($B$1-COUNTIF(P97:INDEX(P97:V97,$B$1),"&gt;0")=4,0.6,0))))</f>
        <v>4</v>
      </c>
      <c r="P97" s="3">
        <v>-1</v>
      </c>
      <c r="Q97" s="3">
        <v>-1</v>
      </c>
      <c r="R97" s="3">
        <v>-1</v>
      </c>
      <c r="S97" s="3">
        <v>1</v>
      </c>
      <c r="T97" s="3">
        <v>9</v>
      </c>
      <c r="W97" s="3">
        <f>MIN(100,
IF($B$1&gt;=1,IFERROR(VALUE(SUBSTITUTE(SUBSTITUTE(TRIM(X97),"A",""),"B","")),0),0)+
IF($B$1&gt;=2,IFERROR(VALUE(SUBSTITUTE(SUBSTITUTE(TRIM(Y97),"A",""),"B","")),0),0)+
IF($B$1&gt;=3,IFERROR(VALUE(SUBSTITUTE(SUBSTITUTE(TRIM(Z97),"A",""),"B","")),0),0)+
IF($B$1&gt;=4,IFERROR(VALUE(SUBSTITUTE(SUBSTITUTE(TRIM(AA97),"A",""),"B","")),0),0)+
IF($B$1&gt;=5,IFERROR(VALUE(SUBSTITUTE(SUBSTITUTE(TRIM(AB97),"A",""),"B","")),0),0)+
IF($B$1&gt;=6,IFERROR(VALUE(SUBSTITUTE(SUBSTITUTE(TRIM(AC97),"A",""),"B","")),0),0)+
IF($B$1&gt;=7,IFERROR(VALUE(SUBSTITUTE(SUBSTITUTE(TRIM(AD97),"A",""),"B","")),0),0)
)</f>
        <v>0</v>
      </c>
      <c r="X97" s="3"/>
      <c r="AE97" s="19">
        <f>AH97+AK97+AN97+AQ97+AT97+AW97+AZ97</f>
        <v>0</v>
      </c>
      <c r="AG97" s="10">
        <f>SQRT(AF97)</f>
        <v>0</v>
      </c>
      <c r="AH97" s="10">
        <f>IF(AG97&gt;0,AG97/AG$6*1000, 0)</f>
        <v>0</v>
      </c>
      <c r="AI97" s="10"/>
      <c r="AJ97" s="10">
        <f>SQRT(AI97)</f>
        <v>0</v>
      </c>
      <c r="AK97" s="10">
        <f>IF(AJ97&gt;0,AJ97/AJ$6*1000, 0)</f>
        <v>0</v>
      </c>
      <c r="AM97" s="10">
        <f>SQRT(AL97)</f>
        <v>0</v>
      </c>
      <c r="AN97" s="10">
        <f>IF(AM97&gt;0,AM97/AM$6*1000, 0)</f>
        <v>0</v>
      </c>
      <c r="AY97" s="10">
        <f>SQRT(AX97)</f>
        <v>0</v>
      </c>
      <c r="AZ97" s="21">
        <f>IF(AY97&gt;0, AY97/AY$6*1000, 0)</f>
        <v>0</v>
      </c>
      <c r="BB97" s="15">
        <f>SQRT(BA97)</f>
        <v>0</v>
      </c>
      <c r="BC97" s="10">
        <f>IF(BB97&gt;0, BB97/BB$6*10000, 0)</f>
        <v>0</v>
      </c>
      <c r="BG97" s="17"/>
      <c r="BH97" s="40">
        <f>IF(BG97&gt;0, BG97/BG$6*2000, 0)</f>
        <v>0</v>
      </c>
      <c r="BJ97" s="17"/>
      <c r="BK97" s="3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20.100000000000001" customHeight="1" x14ac:dyDescent="0.25">
      <c r="B98" s="1">
        <v>100</v>
      </c>
      <c r="C98" s="26">
        <v>92</v>
      </c>
      <c r="D98" s="1" t="str">
        <f>IF(C98&lt;B98,"▲"&amp;B98-C98,IF(C98&gt;B98,"▼"&amp;C98-B98,"—"))</f>
        <v>▲8</v>
      </c>
      <c r="E98" s="2" t="s">
        <v>109</v>
      </c>
      <c r="F98" s="27">
        <f>G98+O98+W98+AE98+BC98+BH98</f>
        <v>4.8</v>
      </c>
      <c r="G98" s="12">
        <f>IF(COUNTIF(H98:INDEX(H98:N98,$B$1),"&gt;0")=0,0,
(SUMIF(H98:INDEX(H98:N98,$B$1),"&gt;0",H98:INDEX(H98:N98,$B$1))*$B$1/COUNTIF(H98:INDEX(H98:N98,$B$1),"&gt;0"))*
IF($B$1-COUNTIF(H98:INDEX(H98:N98,$B$1),"&gt;0")&lt;=2,1,
IF($B$1-COUNTIF(H98:INDEX(H98:N98,$B$1),"&gt;0")=3,0.8,
IF($B$1-COUNTIF(H98:INDEX(H98:N98,$B$1),"&gt;0")=4,0.6,0))))</f>
        <v>3</v>
      </c>
      <c r="H98" s="3">
        <v>-1</v>
      </c>
      <c r="I98" s="3">
        <v>-1</v>
      </c>
      <c r="J98" s="3">
        <v>-1</v>
      </c>
      <c r="K98" s="3">
        <v>-1</v>
      </c>
      <c r="L98" s="3">
        <v>1</v>
      </c>
      <c r="M98" s="3"/>
      <c r="N98" s="3"/>
      <c r="O98" s="10">
        <f>0.2*IF(COUNTIF(P98:INDEX(P98:V98,$B$1),"&gt;0")=0,0,
(SUMIF(P98:INDEX(P98:V98,$B$1),"&gt;0",P98:INDEX(P98:V98,$B$1))*$B$1/COUNTIF(P98:INDEX(P98:V98,$B$1),"&gt;0"))*
IF($B$1-COUNTIF(P98:INDEX(P98:V98,$B$1),"&gt;0")&lt;=2,1,
IF($B$1-COUNTIF(P98:INDEX(P98:V98,$B$1),"&gt;0")=3,0.8,
IF($B$1-COUNTIF(P98:INDEX(P98:V98,$B$1),"&gt;0")=4,0.6,0))))</f>
        <v>1.8</v>
      </c>
      <c r="P98" s="3">
        <v>-1</v>
      </c>
      <c r="Q98" s="3">
        <v>-1</v>
      </c>
      <c r="R98" s="3">
        <v>-2</v>
      </c>
      <c r="S98" s="3">
        <v>-2</v>
      </c>
      <c r="T98" s="3">
        <v>3</v>
      </c>
      <c r="W98" s="3">
        <f>MIN(100,
IF($B$1&gt;=1,IFERROR(VALUE(SUBSTITUTE(SUBSTITUTE(TRIM(X98),"A",""),"B","")),0),0)+
IF($B$1&gt;=2,IFERROR(VALUE(SUBSTITUTE(SUBSTITUTE(TRIM(Y98),"A",""),"B","")),0),0)+
IF($B$1&gt;=3,IFERROR(VALUE(SUBSTITUTE(SUBSTITUTE(TRIM(Z98),"A",""),"B","")),0),0)+
IF($B$1&gt;=4,IFERROR(VALUE(SUBSTITUTE(SUBSTITUTE(TRIM(AA98),"A",""),"B","")),0),0)+
IF($B$1&gt;=5,IFERROR(VALUE(SUBSTITUTE(SUBSTITUTE(TRIM(AB98),"A",""),"B","")),0),0)+
IF($B$1&gt;=6,IFERROR(VALUE(SUBSTITUTE(SUBSTITUTE(TRIM(AC98),"A",""),"B","")),0),0)+
IF($B$1&gt;=7,IFERROR(VALUE(SUBSTITUTE(SUBSTITUTE(TRIM(AD98),"A",""),"B","")),0),0)
)</f>
        <v>0</v>
      </c>
      <c r="X98" s="3"/>
      <c r="AE98" s="19">
        <f>AH98+AK98+AN98+AQ98+AT98+AW98+AZ98</f>
        <v>0</v>
      </c>
      <c r="AG98" s="10">
        <f>SQRT(AF98)</f>
        <v>0</v>
      </c>
      <c r="AH98" s="10">
        <f>IF(AG98&gt;0,AG98/AG$6*1000, 0)</f>
        <v>0</v>
      </c>
      <c r="AI98" s="10"/>
      <c r="AJ98" s="10">
        <f>SQRT(AI98)</f>
        <v>0</v>
      </c>
      <c r="AK98" s="10">
        <f>IF(AJ98&gt;0,AJ98/AJ$6*1000, 0)</f>
        <v>0</v>
      </c>
      <c r="AM98" s="10">
        <f>SQRT(AL98)</f>
        <v>0</v>
      </c>
      <c r="AN98" s="10">
        <f>IF(AM98&gt;0,AM98/AM$6*1000, 0)</f>
        <v>0</v>
      </c>
      <c r="AY98" s="10">
        <f>SQRT(AX98)</f>
        <v>0</v>
      </c>
      <c r="AZ98" s="21">
        <f>IF(AY98&gt;0, AY98/AY$6*1000, 0)</f>
        <v>0</v>
      </c>
      <c r="BB98" s="15">
        <f>SQRT(BA98)</f>
        <v>0</v>
      </c>
      <c r="BC98" s="10">
        <f>IF(BB98&gt;0, BB98/BB$6*10000, 0)</f>
        <v>0</v>
      </c>
      <c r="BG98" s="17"/>
      <c r="BH98" s="40">
        <f>IF(BG98&gt;0, BG98/BG$6*2000, 0)</f>
        <v>0</v>
      </c>
      <c r="BJ98" s="17"/>
      <c r="BK98" s="3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20.100000000000001" customHeight="1" x14ac:dyDescent="0.25">
      <c r="B99" s="1">
        <v>96</v>
      </c>
      <c r="C99" s="26">
        <v>93</v>
      </c>
      <c r="D99" s="1" t="str">
        <f>IF(C99&lt;B99,"▲"&amp;B99-C99,IF(C99&gt;B99,"▼"&amp;C99-B99,"—"))</f>
        <v>▲3</v>
      </c>
      <c r="E99" s="2" t="s">
        <v>108</v>
      </c>
      <c r="F99" s="27">
        <f>G99+O99+W99+AE99+BC99+BH99</f>
        <v>1.8</v>
      </c>
      <c r="G99" s="12">
        <f>IF(COUNTIF(H99:INDEX(H99:N99,$B$1),"&gt;0")=0,0,
(SUMIF(H99:INDEX(H99:N99,$B$1),"&gt;0",H99:INDEX(H99:N99,$B$1))*$B$1/COUNTIF(H99:INDEX(H99:N99,$B$1),"&gt;0"))*
IF($B$1-COUNTIF(H99:INDEX(H99:N99,$B$1),"&gt;0")&lt;=2,1,
IF($B$1-COUNTIF(H99:INDEX(H99:N99,$B$1),"&gt;0")=3,0.8,
IF($B$1-COUNTIF(H99:INDEX(H99:N99,$B$1),"&gt;0")=4,0.6,0))))</f>
        <v>0</v>
      </c>
      <c r="H99" s="3">
        <v>-1</v>
      </c>
      <c r="I99" s="3">
        <v>-1</v>
      </c>
      <c r="J99" s="3">
        <v>-2</v>
      </c>
      <c r="K99" s="3">
        <v>-2</v>
      </c>
      <c r="L99" s="3">
        <v>-2</v>
      </c>
      <c r="M99" s="3"/>
      <c r="N99" s="3"/>
      <c r="O99" s="10">
        <f>0.2*IF(COUNTIF(P99:INDEX(P99:V99,$B$1),"&gt;0")=0,0,
(SUMIF(P99:INDEX(P99:V99,$B$1),"&gt;0",P99:INDEX(P99:V99,$B$1))*$B$1/COUNTIF(P99:INDEX(P99:V99,$B$1),"&gt;0"))*
IF($B$1-COUNTIF(P99:INDEX(P99:V99,$B$1),"&gt;0")&lt;=2,1,
IF($B$1-COUNTIF(P99:INDEX(P99:V99,$B$1),"&gt;0")=3,0.8,
IF($B$1-COUNTIF(P99:INDEX(P99:V99,$B$1),"&gt;0")=4,0.6,0))))</f>
        <v>1.8</v>
      </c>
      <c r="P99" s="3">
        <v>-1</v>
      </c>
      <c r="Q99" s="3">
        <v>3</v>
      </c>
      <c r="R99" s="3">
        <v>-2</v>
      </c>
      <c r="S99" s="3">
        <v>-2</v>
      </c>
      <c r="T99" s="3">
        <v>-2</v>
      </c>
      <c r="W99" s="3">
        <f>MIN(100,
IF($B$1&gt;=1,IFERROR(VALUE(SUBSTITUTE(SUBSTITUTE(TRIM(X99),"A",""),"B","")),0),0)+
IF($B$1&gt;=2,IFERROR(VALUE(SUBSTITUTE(SUBSTITUTE(TRIM(Y99),"A",""),"B","")),0),0)+
IF($B$1&gt;=3,IFERROR(VALUE(SUBSTITUTE(SUBSTITUTE(TRIM(Z99),"A",""),"B","")),0),0)+
IF($B$1&gt;=4,IFERROR(VALUE(SUBSTITUTE(SUBSTITUTE(TRIM(AA99),"A",""),"B","")),0),0)+
IF($B$1&gt;=5,IFERROR(VALUE(SUBSTITUTE(SUBSTITUTE(TRIM(AB99),"A",""),"B","")),0),0)+
IF($B$1&gt;=6,IFERROR(VALUE(SUBSTITUTE(SUBSTITUTE(TRIM(AC99),"A",""),"B","")),0),0)+
IF($B$1&gt;=7,IFERROR(VALUE(SUBSTITUTE(SUBSTITUTE(TRIM(AD99),"A",""),"B","")),0),0)
)</f>
        <v>0</v>
      </c>
      <c r="X99" s="3"/>
      <c r="AE99" s="19">
        <f>AH99+AK99+AN99+AQ99+AT99+AW99+AZ99</f>
        <v>0</v>
      </c>
      <c r="AG99" s="10">
        <f>SQRT(AF99)</f>
        <v>0</v>
      </c>
      <c r="AH99" s="10">
        <f>IF(AG99&gt;0,AG99/AG$6*1000, 0)</f>
        <v>0</v>
      </c>
      <c r="AI99" s="10"/>
      <c r="AJ99" s="10">
        <f>SQRT(AI99)</f>
        <v>0</v>
      </c>
      <c r="AK99" s="10">
        <f>IF(AJ99&gt;0,AJ99/AJ$6*1000, 0)</f>
        <v>0</v>
      </c>
      <c r="AM99" s="10">
        <f>SQRT(AL99)</f>
        <v>0</v>
      </c>
      <c r="AN99" s="10">
        <f>IF(AM99&gt;0,AM99/AM$6*1000, 0)</f>
        <v>0</v>
      </c>
      <c r="AY99" s="10">
        <f>SQRT(AX99)</f>
        <v>0</v>
      </c>
      <c r="AZ99" s="21">
        <f>IF(AY99&gt;0, AY99/AY$6*1000, 0)</f>
        <v>0</v>
      </c>
      <c r="BB99" s="15">
        <f>SQRT(BA99)</f>
        <v>0</v>
      </c>
      <c r="BC99" s="10">
        <f>IF(BB99&gt;0, BB99/BB$6*10000, 0)</f>
        <v>0</v>
      </c>
      <c r="BG99" s="17"/>
      <c r="BH99" s="40">
        <f>IF(BG99&gt;0, BG99/BG$6*2000, 0)</f>
        <v>0</v>
      </c>
      <c r="BJ99" s="17"/>
      <c r="BK99" s="3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20.100000000000001" customHeight="1" x14ac:dyDescent="0.25">
      <c r="B100" s="1">
        <v>95</v>
      </c>
      <c r="C100" s="26">
        <v>94</v>
      </c>
      <c r="D100" s="1" t="str">
        <f>IF(C100&lt;B100,"▲"&amp;B100-C100,IF(C100&gt;B100,"▼"&amp;C100-B100,"—"))</f>
        <v>▲1</v>
      </c>
      <c r="E100" s="2" t="s">
        <v>110</v>
      </c>
      <c r="F100" s="27">
        <f>G100+O100+W100+AE100+BC100+BH100</f>
        <v>0</v>
      </c>
      <c r="G100" s="12">
        <f>IF(COUNTIF(H100:INDEX(H100:N100,$B$1),"&gt;0")=0,0,
(SUMIF(H100:INDEX(H100:N100,$B$1),"&gt;0",H100:INDEX(H100:N100,$B$1))*$B$1/COUNTIF(H100:INDEX(H100:N100,$B$1),"&gt;0"))*
IF($B$1-COUNTIF(H100:INDEX(H100:N100,$B$1),"&gt;0")&lt;=2,1,
IF($B$1-COUNTIF(H100:INDEX(H100:N100,$B$1),"&gt;0")=3,0.8,
IF($B$1-COUNTIF(H100:INDEX(H100:N100,$B$1),"&gt;0")=4,0.6,0))))</f>
        <v>0</v>
      </c>
      <c r="H100" s="3">
        <v>-1</v>
      </c>
      <c r="I100" s="3">
        <v>-1</v>
      </c>
      <c r="J100" s="3">
        <v>-2</v>
      </c>
      <c r="K100" s="3">
        <v>-2</v>
      </c>
      <c r="L100" s="3">
        <v>-2</v>
      </c>
      <c r="M100" s="3"/>
      <c r="N100" s="3"/>
      <c r="O100" s="10">
        <f>0.2*IF(COUNTIF(P100:INDEX(P100:V100,$B$1),"&gt;0")=0,0,
(SUMIF(P100:INDEX(P100:V100,$B$1),"&gt;0",P100:INDEX(P100:V100,$B$1))*$B$1/COUNTIF(P100:INDEX(P100:V100,$B$1),"&gt;0"))*
IF($B$1-COUNTIF(P100:INDEX(P100:V100,$B$1),"&gt;0")&lt;=2,1,
IF($B$1-COUNTIF(P100:INDEX(P100:V100,$B$1),"&gt;0")=3,0.8,
IF($B$1-COUNTIF(P100:INDEX(P100:V100,$B$1),"&gt;0")=4,0.6,0))))</f>
        <v>0</v>
      </c>
      <c r="P100" s="3">
        <v>-1</v>
      </c>
      <c r="Q100" s="3">
        <v>-1</v>
      </c>
      <c r="R100" s="3">
        <v>-2</v>
      </c>
      <c r="S100" s="3">
        <v>-2</v>
      </c>
      <c r="T100" s="3">
        <v>-2</v>
      </c>
      <c r="W100" s="3">
        <f>MIN(100,
IF($B$1&gt;=1,IFERROR(VALUE(SUBSTITUTE(SUBSTITUTE(TRIM(X100),"A",""),"B","")),0),0)+
IF($B$1&gt;=2,IFERROR(VALUE(SUBSTITUTE(SUBSTITUTE(TRIM(Y100),"A",""),"B","")),0),0)+
IF($B$1&gt;=3,IFERROR(VALUE(SUBSTITUTE(SUBSTITUTE(TRIM(Z100),"A",""),"B","")),0),0)+
IF($B$1&gt;=4,IFERROR(VALUE(SUBSTITUTE(SUBSTITUTE(TRIM(AA100),"A",""),"B","")),0),0)+
IF($B$1&gt;=5,IFERROR(VALUE(SUBSTITUTE(SUBSTITUTE(TRIM(AB100),"A",""),"B","")),0),0)+
IF($B$1&gt;=6,IFERROR(VALUE(SUBSTITUTE(SUBSTITUTE(TRIM(AC100),"A",""),"B","")),0),0)+
IF($B$1&gt;=7,IFERROR(VALUE(SUBSTITUTE(SUBSTITUTE(TRIM(AD100),"A",""),"B","")),0),0)
)</f>
        <v>0</v>
      </c>
      <c r="X100" s="3"/>
      <c r="AE100" s="19">
        <f>AH100+AK100+AN100+AQ100+AT100+AW100+AZ100</f>
        <v>0</v>
      </c>
      <c r="AG100" s="10">
        <f>SQRT(AF100)</f>
        <v>0</v>
      </c>
      <c r="AH100" s="10">
        <f>IF(AG100&gt;0,AG100/AG$6*1000, 0)</f>
        <v>0</v>
      </c>
      <c r="AI100" s="10"/>
      <c r="AJ100" s="10">
        <f>SQRT(AI100)</f>
        <v>0</v>
      </c>
      <c r="AK100" s="10">
        <f>IF(AJ100&gt;0,AJ100/AJ$6*1000, 0)</f>
        <v>0</v>
      </c>
      <c r="AM100" s="10">
        <f>SQRT(AL100)</f>
        <v>0</v>
      </c>
      <c r="AN100" s="10">
        <f>IF(AM100&gt;0,AM100/AM$6*1000, 0)</f>
        <v>0</v>
      </c>
      <c r="AY100" s="10">
        <f>SQRT(AX100)</f>
        <v>0</v>
      </c>
      <c r="AZ100" s="21">
        <f>IF(AY100&gt;0, AY100/AY$6*1000, 0)</f>
        <v>0</v>
      </c>
      <c r="BB100" s="15">
        <f>SQRT(BA100)</f>
        <v>0</v>
      </c>
      <c r="BC100" s="10">
        <f>IF(BB100&gt;0, BB100/BB$6*10000, 0)</f>
        <v>0</v>
      </c>
      <c r="BG100" s="17"/>
      <c r="BH100" s="40">
        <f>IF(BG100&gt;0, BG100/BG$6*2000, 0)</f>
        <v>0</v>
      </c>
      <c r="BJ100" s="17"/>
      <c r="BK100" s="3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20.100000000000001" customHeight="1" x14ac:dyDescent="0.25">
      <c r="B101" s="1">
        <v>97</v>
      </c>
      <c r="C101" s="26">
        <v>95</v>
      </c>
      <c r="D101" s="1" t="str">
        <f>IF(C101&lt;B101,"▲"&amp;B101-C101,IF(C101&gt;B101,"▼"&amp;C101-B101,"—"))</f>
        <v>▲2</v>
      </c>
      <c r="E101" s="2" t="s">
        <v>111</v>
      </c>
      <c r="F101" s="27">
        <f>G101+O101+W101+AE101+BC101+BH101</f>
        <v>0</v>
      </c>
      <c r="G101" s="12">
        <f>IF(COUNTIF(H101:INDEX(H101:N101,$B$1),"&gt;0")=0,0,
(SUMIF(H101:INDEX(H101:N101,$B$1),"&gt;0",H101:INDEX(H101:N101,$B$1))*$B$1/COUNTIF(H101:INDEX(H101:N101,$B$1),"&gt;0"))*
IF($B$1-COUNTIF(H101:INDEX(H101:N101,$B$1),"&gt;0")&lt;=2,1,
IF($B$1-COUNTIF(H101:INDEX(H101:N101,$B$1),"&gt;0")=3,0.8,
IF($B$1-COUNTIF(H101:INDEX(H101:N101,$B$1),"&gt;0")=4,0.6,0))))</f>
        <v>0</v>
      </c>
      <c r="H101" s="3">
        <v>-2</v>
      </c>
      <c r="I101" s="3">
        <v>-2</v>
      </c>
      <c r="J101" s="3">
        <v>-2</v>
      </c>
      <c r="K101" s="3">
        <v>-2</v>
      </c>
      <c r="L101" s="3">
        <v>-2</v>
      </c>
      <c r="M101" s="3"/>
      <c r="N101" s="3"/>
      <c r="O101" s="10">
        <f>0.2*IF(COUNTIF(P101:INDEX(P101:V101,$B$1),"&gt;0")=0,0,
(SUMIF(P101:INDEX(P101:V101,$B$1),"&gt;0",P101:INDEX(P101:V101,$B$1))*$B$1/COUNTIF(P101:INDEX(P101:V101,$B$1),"&gt;0"))*
IF($B$1-COUNTIF(P101:INDEX(P101:V101,$B$1),"&gt;0")&lt;=2,1,
IF($B$1-COUNTIF(P101:INDEX(P101:V101,$B$1),"&gt;0")=3,0.8,
IF($B$1-COUNTIF(P101:INDEX(P101:V101,$B$1),"&gt;0")=4,0.6,0))))</f>
        <v>0</v>
      </c>
      <c r="P101" s="3">
        <v>-2</v>
      </c>
      <c r="Q101" s="3">
        <v>-2</v>
      </c>
      <c r="R101" s="3">
        <v>-2</v>
      </c>
      <c r="S101" s="3">
        <v>-2</v>
      </c>
      <c r="T101" s="3">
        <v>-2</v>
      </c>
      <c r="W101" s="3">
        <f>MIN(100,
IF($B$1&gt;=1,IFERROR(VALUE(SUBSTITUTE(SUBSTITUTE(TRIM(X101),"A",""),"B","")),0),0)+
IF($B$1&gt;=2,IFERROR(VALUE(SUBSTITUTE(SUBSTITUTE(TRIM(Y101),"A",""),"B","")),0),0)+
IF($B$1&gt;=3,IFERROR(VALUE(SUBSTITUTE(SUBSTITUTE(TRIM(Z101),"A",""),"B","")),0),0)+
IF($B$1&gt;=4,IFERROR(VALUE(SUBSTITUTE(SUBSTITUTE(TRIM(AA101),"A",""),"B","")),0),0)+
IF($B$1&gt;=5,IFERROR(VALUE(SUBSTITUTE(SUBSTITUTE(TRIM(AB101),"A",""),"B","")),0),0)+
IF($B$1&gt;=6,IFERROR(VALUE(SUBSTITUTE(SUBSTITUTE(TRIM(AC101),"A",""),"B","")),0),0)+
IF($B$1&gt;=7,IFERROR(VALUE(SUBSTITUTE(SUBSTITUTE(TRIM(AD101),"A",""),"B","")),0),0)
)</f>
        <v>0</v>
      </c>
      <c r="X101" s="3"/>
      <c r="AE101" s="19">
        <f>AH101+AK101+AN101+AQ101+AT101+AW101+AZ101</f>
        <v>0</v>
      </c>
      <c r="AG101" s="10">
        <f>SQRT(AF101)</f>
        <v>0</v>
      </c>
      <c r="AH101" s="10">
        <f>IF(AG101&gt;0,AG101/AG$6*1000, 0)</f>
        <v>0</v>
      </c>
      <c r="AI101" s="10"/>
      <c r="AJ101" s="10">
        <f>SQRT(AI101)</f>
        <v>0</v>
      </c>
      <c r="AK101" s="10">
        <f>IF(AJ101&gt;0,AJ101/AJ$6*1000, 0)</f>
        <v>0</v>
      </c>
      <c r="AM101" s="10">
        <f>SQRT(AL101)</f>
        <v>0</v>
      </c>
      <c r="AN101" s="10">
        <f>IF(AM101&gt;0,AM101/AM$6*1000, 0)</f>
        <v>0</v>
      </c>
      <c r="AY101" s="10">
        <f>SQRT(AX101)</f>
        <v>0</v>
      </c>
      <c r="AZ101" s="21">
        <f>IF(AY101&gt;0, AY101/AY$6*1000, 0)</f>
        <v>0</v>
      </c>
      <c r="BB101" s="15">
        <f>SQRT(BA101)</f>
        <v>0</v>
      </c>
      <c r="BC101" s="10">
        <f>IF(BB101&gt;0, BB101/BB$6*10000, 0)</f>
        <v>0</v>
      </c>
      <c r="BG101" s="17"/>
      <c r="BH101" s="40">
        <f>IF(BG101&gt;0, BG101/BG$6*2000, 0)</f>
        <v>0</v>
      </c>
      <c r="BJ101" s="17"/>
      <c r="BK101" s="3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20.100000000000001" customHeight="1" x14ac:dyDescent="0.25">
      <c r="B102" s="1">
        <v>98</v>
      </c>
      <c r="C102" s="26">
        <v>96</v>
      </c>
      <c r="D102" s="1" t="str">
        <f>IF(C102&lt;B102,"▲"&amp;B102-C102,IF(C102&gt;B102,"▼"&amp;C102-B102,"—"))</f>
        <v>▲2</v>
      </c>
      <c r="E102" s="2" t="s">
        <v>112</v>
      </c>
      <c r="F102" s="27">
        <f>G102+O102+W102+AE102+BC102+BH102</f>
        <v>0</v>
      </c>
      <c r="G102" s="12">
        <f>IF(COUNTIF(H102:INDEX(H102:N102,$B$1),"&gt;0")=0,0,
(SUMIF(H102:INDEX(H102:N102,$B$1),"&gt;0",H102:INDEX(H102:N102,$B$1))*$B$1/COUNTIF(H102:INDEX(H102:N102,$B$1),"&gt;0"))*
IF($B$1-COUNTIF(H102:INDEX(H102:N102,$B$1),"&gt;0")&lt;=2,1,
IF($B$1-COUNTIF(H102:INDEX(H102:N102,$B$1),"&gt;0")=3,0.8,
IF($B$1-COUNTIF(H102:INDEX(H102:N102,$B$1),"&gt;0")=4,0.6,0))))</f>
        <v>0</v>
      </c>
      <c r="H102" s="3">
        <v>-2</v>
      </c>
      <c r="I102" s="3">
        <v>-2</v>
      </c>
      <c r="J102" s="3">
        <v>-2</v>
      </c>
      <c r="K102" s="3">
        <v>-2</v>
      </c>
      <c r="L102" s="3">
        <v>-2</v>
      </c>
      <c r="M102" s="3"/>
      <c r="N102" s="3"/>
      <c r="O102" s="10">
        <f>0.2*IF(COUNTIF(P102:INDEX(P102:V102,$B$1),"&gt;0")=0,0,
(SUMIF(P102:INDEX(P102:V102,$B$1),"&gt;0",P102:INDEX(P102:V102,$B$1))*$B$1/COUNTIF(P102:INDEX(P102:V102,$B$1),"&gt;0"))*
IF($B$1-COUNTIF(P102:INDEX(P102:V102,$B$1),"&gt;0")&lt;=2,1,
IF($B$1-COUNTIF(P102:INDEX(P102:V102,$B$1),"&gt;0")=3,0.8,
IF($B$1-COUNTIF(P102:INDEX(P102:V102,$B$1),"&gt;0")=4,0.6,0))))</f>
        <v>0</v>
      </c>
      <c r="P102" s="3">
        <v>-2</v>
      </c>
      <c r="Q102" s="3">
        <v>-2</v>
      </c>
      <c r="R102" s="3">
        <v>-2</v>
      </c>
      <c r="S102" s="3">
        <v>-2</v>
      </c>
      <c r="T102" s="3">
        <v>-2</v>
      </c>
      <c r="W102" s="3">
        <f>MIN(100,
IF($B$1&gt;=1,IFERROR(VALUE(SUBSTITUTE(SUBSTITUTE(TRIM(X102),"A",""),"B","")),0),0)+
IF($B$1&gt;=2,IFERROR(VALUE(SUBSTITUTE(SUBSTITUTE(TRIM(Y102),"A",""),"B","")),0),0)+
IF($B$1&gt;=3,IFERROR(VALUE(SUBSTITUTE(SUBSTITUTE(TRIM(Z102),"A",""),"B","")),0),0)+
IF($B$1&gt;=4,IFERROR(VALUE(SUBSTITUTE(SUBSTITUTE(TRIM(AA102),"A",""),"B","")),0),0)+
IF($B$1&gt;=5,IFERROR(VALUE(SUBSTITUTE(SUBSTITUTE(TRIM(AB102),"A",""),"B","")),0),0)+
IF($B$1&gt;=6,IFERROR(VALUE(SUBSTITUTE(SUBSTITUTE(TRIM(AC102),"A",""),"B","")),0),0)+
IF($B$1&gt;=7,IFERROR(VALUE(SUBSTITUTE(SUBSTITUTE(TRIM(AD102),"A",""),"B","")),0),0)
)</f>
        <v>0</v>
      </c>
      <c r="X102" s="3"/>
      <c r="AE102" s="19">
        <f>AH102+AK102+AN102+AQ102+AT102+AW102+AZ102</f>
        <v>0</v>
      </c>
      <c r="AG102" s="10">
        <f>SQRT(AF102)</f>
        <v>0</v>
      </c>
      <c r="AH102" s="10">
        <f>IF(AG102&gt;0,AG102/AG$6*1000, 0)</f>
        <v>0</v>
      </c>
      <c r="AI102" s="10"/>
      <c r="AJ102" s="10">
        <f>SQRT(AI102)</f>
        <v>0</v>
      </c>
      <c r="AK102" s="10">
        <f>IF(AJ102&gt;0,AJ102/AJ$6*1000, 0)</f>
        <v>0</v>
      </c>
      <c r="AM102" s="10">
        <f>SQRT(AL102)</f>
        <v>0</v>
      </c>
      <c r="AN102" s="10">
        <f>IF(AM102&gt;0,AM102/AM$6*1000, 0)</f>
        <v>0</v>
      </c>
      <c r="AY102" s="10">
        <f>SQRT(AX102)</f>
        <v>0</v>
      </c>
      <c r="AZ102" s="21">
        <f>IF(AY102&gt;0, AY102/AY$6*1000, 0)</f>
        <v>0</v>
      </c>
      <c r="BB102" s="15">
        <f>SQRT(BA102)</f>
        <v>0</v>
      </c>
      <c r="BC102" s="10">
        <f>IF(BB102&gt;0, BB102/BB$6*10000, 0)</f>
        <v>0</v>
      </c>
      <c r="BG102" s="17"/>
      <c r="BH102" s="40">
        <f>IF(BG102&gt;0, BG102/BG$6*2000, 0)</f>
        <v>0</v>
      </c>
      <c r="BJ102" s="17"/>
      <c r="BK102" s="5"/>
      <c r="BL102" s="3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20.100000000000001" customHeight="1" x14ac:dyDescent="0.25">
      <c r="B103" s="1">
        <v>99</v>
      </c>
      <c r="C103" s="26"/>
      <c r="D103" s="1" t="str">
        <f>IF(C103&lt;B103,"▲"&amp;B103-C103,IF(C103&gt;B103,"▼"&amp;C103-B103,"—"))</f>
        <v>▲99</v>
      </c>
      <c r="E103" s="2" t="s">
        <v>49</v>
      </c>
      <c r="F103" s="27">
        <v>-3</v>
      </c>
      <c r="G103" s="12">
        <f>IF(COUNTIF(H103:INDEX(H103:N103,$B$1),"&gt;0")=0,0,
(SUMIF(H103:INDEX(H103:N103,$B$1),"&gt;0",H103:INDEX(H103:N103,$B$1))*$B$1/COUNTIF(H103:INDEX(H103:N103,$B$1),"&gt;0"))*
IF($B$1-COUNTIF(H103:INDEX(H103:N103,$B$1),"&gt;0")&lt;=2,1,
IF($B$1-COUNTIF(H103:INDEX(H103:N103,$B$1),"&gt;0")=3,0.8,
IF($B$1-COUNTIF(H103:INDEX(H103:N103,$B$1),"&gt;0")=4,0.6,0))))</f>
        <v>319</v>
      </c>
      <c r="H103" s="3">
        <v>47</v>
      </c>
      <c r="I103" s="3">
        <v>55</v>
      </c>
      <c r="J103" s="3">
        <v>93</v>
      </c>
      <c r="K103" s="3">
        <v>87</v>
      </c>
      <c r="L103" s="3">
        <v>37</v>
      </c>
      <c r="M103" s="3"/>
      <c r="N103" s="3"/>
      <c r="O103" s="10">
        <f>0.2*IF(COUNTIF(P103:INDEX(P103:V103,$B$1),"&gt;0")=0,0,
(SUMIF(P103:INDEX(P103:V103,$B$1),"&gt;0",P103:INDEX(P103:V103,$B$1))*$B$1/COUNTIF(P103:INDEX(P103:V103,$B$1),"&gt;0"))*
IF($B$1-COUNTIF(P103:INDEX(P103:V103,$B$1),"&gt;0")&lt;=2,1,
IF($B$1-COUNTIF(P103:INDEX(P103:V103,$B$1),"&gt;0")=3,0.8,
IF($B$1-COUNTIF(P103:INDEX(P103:V103,$B$1),"&gt;0")=4,0.6,0))))</f>
        <v>48.400000000000006</v>
      </c>
      <c r="P103" s="3">
        <v>38</v>
      </c>
      <c r="Q103" s="3">
        <v>38</v>
      </c>
      <c r="R103" s="3">
        <v>43</v>
      </c>
      <c r="S103" s="3">
        <v>37</v>
      </c>
      <c r="T103" s="3">
        <v>86</v>
      </c>
      <c r="W103" s="3">
        <f>MIN(100,
IF($B$1&gt;=1,IFERROR(VALUE(SUBSTITUTE(SUBSTITUTE(TRIM(X103),"A",""),"B","")),0),0)+
IF($B$1&gt;=2,IFERROR(VALUE(SUBSTITUTE(SUBSTITUTE(TRIM(Y103),"A",""),"B","")),0),0)+
IF($B$1&gt;=3,IFERROR(VALUE(SUBSTITUTE(SUBSTITUTE(TRIM(Z103),"A",""),"B","")),0),0)+
IF($B$1&gt;=4,IFERROR(VALUE(SUBSTITUTE(SUBSTITUTE(TRIM(AA103),"A",""),"B","")),0),0)+
IF($B$1&gt;=5,IFERROR(VALUE(SUBSTITUTE(SUBSTITUTE(TRIM(AB103),"A",""),"B","")),0),0)+
IF($B$1&gt;=6,IFERROR(VALUE(SUBSTITUTE(SUBSTITUTE(TRIM(AC103),"A",""),"B","")),0),0)+
IF($B$1&gt;=7,IFERROR(VALUE(SUBSTITUTE(SUBSTITUTE(TRIM(AD103),"A",""),"B","")),0),0)
)</f>
        <v>0</v>
      </c>
      <c r="X103" s="3"/>
      <c r="AE103" s="19">
        <f>AH103+AK103+AN103+AQ103+AT103+AW103+AZ103</f>
        <v>0</v>
      </c>
      <c r="AG103" s="10">
        <f>SQRT(AF103)</f>
        <v>0</v>
      </c>
      <c r="AH103" s="10">
        <f>IF(AG103&gt;0,AG103/AG$6*1000, 0)</f>
        <v>0</v>
      </c>
      <c r="AI103" s="10"/>
      <c r="AJ103" s="10">
        <f>SQRT(AI103)</f>
        <v>0</v>
      </c>
      <c r="AK103" s="10">
        <f>IF(AJ103&gt;0,AJ103/AJ$6*1000, 0)</f>
        <v>0</v>
      </c>
      <c r="AM103" s="10">
        <f>SQRT(AL103)</f>
        <v>0</v>
      </c>
      <c r="AN103" s="10">
        <f>IF(AM103&gt;0,AM103/AM$6*1000, 0)</f>
        <v>0</v>
      </c>
      <c r="AY103" s="10">
        <f>SQRT(AX103)</f>
        <v>0</v>
      </c>
      <c r="AZ103" s="21">
        <f>IF(AY103&gt;0, AY103/AY$6*1000, 0)</f>
        <v>0</v>
      </c>
      <c r="BA103" s="16">
        <v>7.0000000000000007E-2</v>
      </c>
      <c r="BB103" s="15">
        <f>SQRT(BA103)</f>
        <v>0.26457513110645908</v>
      </c>
      <c r="BC103" s="10">
        <f>IF(BB103&gt;0, BB103/BB$6*10000, 0)</f>
        <v>70.865158834192954</v>
      </c>
      <c r="BG103" s="17">
        <v>6</v>
      </c>
      <c r="BH103" s="40">
        <f>IF(BG103&gt;0, BG103/BG$6*2000, 0)</f>
        <v>22.471910112359549</v>
      </c>
      <c r="BJ103" s="17"/>
      <c r="BK103" s="5"/>
      <c r="BL103" s="3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s="4" customFormat="1" ht="20.100000000000001" customHeight="1" x14ac:dyDescent="0.25">
      <c r="A104" s="1"/>
      <c r="B104" s="1">
        <v>23</v>
      </c>
      <c r="C104" s="26"/>
      <c r="D104" s="1" t="str">
        <f>IF(C104&lt;B104,"▲"&amp;B104-C104,IF(C104&gt;B104,"▼"&amp;C104-B104,"—"))</f>
        <v>▲23</v>
      </c>
      <c r="E104" s="2" t="s">
        <v>38</v>
      </c>
      <c r="F104" s="27">
        <v>-3</v>
      </c>
      <c r="G104" s="12">
        <f>IF(COUNTIF(H104:INDEX(H104:N104,$B$1),"&gt;0")=0,0,
(SUMIF(H104:INDEX(H104:N104,$B$1),"&gt;0",H104:INDEX(H104:N104,$B$1))*$B$1/COUNTIF(H104:INDEX(H104:N104,$B$1),"&gt;0"))*
IF($B$1-COUNTIF(H104:INDEX(H104:N104,$B$1),"&gt;0")&lt;=2,1,
IF($B$1-COUNTIF(H104:INDEX(H104:N104,$B$1),"&gt;0")=3,0.8,
IF($B$1-COUNTIF(H104:INDEX(H104:N104,$B$1),"&gt;0")=4,0.6,0))))</f>
        <v>276.25</v>
      </c>
      <c r="H104" s="3">
        <v>53</v>
      </c>
      <c r="I104" s="3">
        <v>57</v>
      </c>
      <c r="J104" s="3">
        <v>68</v>
      </c>
      <c r="K104" s="3">
        <v>43</v>
      </c>
      <c r="L104" s="3">
        <v>-1</v>
      </c>
      <c r="M104" s="3"/>
      <c r="N104" s="3"/>
      <c r="O104" s="10">
        <f>0.2*IF(COUNTIF(P104:INDEX(P104:V104,$B$1),"&gt;0")=0,0,
(SUMIF(P104:INDEX(P104:V104,$B$1),"&gt;0",P104:INDEX(P104:V104,$B$1))*$B$1/COUNTIF(P104:INDEX(P104:V104,$B$1),"&gt;0"))*
IF($B$1-COUNTIF(P104:INDEX(P104:V104,$B$1),"&gt;0")&lt;=2,1,
IF($B$1-COUNTIF(P104:INDEX(P104:V104,$B$1),"&gt;0")=3,0.8,
IF($B$1-COUNTIF(P104:INDEX(P104:V104,$B$1),"&gt;0")=4,0.6,0))))</f>
        <v>45.666666666666671</v>
      </c>
      <c r="P104" s="3">
        <v>50</v>
      </c>
      <c r="Q104" s="3">
        <v>42</v>
      </c>
      <c r="R104" s="3">
        <v>45</v>
      </c>
      <c r="S104" s="3">
        <v>-1</v>
      </c>
      <c r="T104" s="3">
        <v>-1</v>
      </c>
      <c r="U104" s="3"/>
      <c r="V104" s="3"/>
      <c r="W104" s="3">
        <f>MIN(100,
IF($B$1&gt;=1,IFERROR(VALUE(SUBSTITUTE(SUBSTITUTE(TRIM(X104),"A",""),"B","")),0),0)+
IF($B$1&gt;=2,IFERROR(VALUE(SUBSTITUTE(SUBSTITUTE(TRIM(Y104),"A",""),"B","")),0),0)+
IF($B$1&gt;=3,IFERROR(VALUE(SUBSTITUTE(SUBSTITUTE(TRIM(Z104),"A",""),"B","")),0),0)+
IF($B$1&gt;=4,IFERROR(VALUE(SUBSTITUTE(SUBSTITUTE(TRIM(AA104),"A",""),"B","")),0),0)+
IF($B$1&gt;=5,IFERROR(VALUE(SUBSTITUTE(SUBSTITUTE(TRIM(AB104),"A",""),"B","")),0),0)+
IF($B$1&gt;=6,IFERROR(VALUE(SUBSTITUTE(SUBSTITUTE(TRIM(AC104),"A",""),"B","")),0),0)+
IF($B$1&gt;=7,IFERROR(VALUE(SUBSTITUTE(SUBSTITUTE(TRIM(AD104),"A",""),"B","")),0),0)
)</f>
        <v>80</v>
      </c>
      <c r="X104" s="3" t="s">
        <v>14</v>
      </c>
      <c r="Y104" s="3" t="s">
        <v>14</v>
      </c>
      <c r="Z104" s="3" t="s">
        <v>14</v>
      </c>
      <c r="AA104" s="3" t="s">
        <v>132</v>
      </c>
      <c r="AB104" s="3"/>
      <c r="AC104" s="3"/>
      <c r="AD104" s="3"/>
      <c r="AE104" s="19">
        <f>AH104+AK104+AN104+AQ104+AT104+AW104+AZ104</f>
        <v>132.51692163894444</v>
      </c>
      <c r="AF104" s="10">
        <v>3.5</v>
      </c>
      <c r="AG104" s="10">
        <f>SQRT(AF104)</f>
        <v>1.8708286933869707</v>
      </c>
      <c r="AH104" s="10">
        <f>IF(AG104&gt;0,AG104/AG$6*1000, 0)</f>
        <v>45.037316544249407</v>
      </c>
      <c r="AI104" s="10">
        <v>1.7</v>
      </c>
      <c r="AJ104" s="10">
        <f>SQRT(AI104)</f>
        <v>1.3038404810405297</v>
      </c>
      <c r="AK104" s="10">
        <f>IF(AJ104&gt;0,AJ104/AJ$6*1000, 0)</f>
        <v>36.802749388431799</v>
      </c>
      <c r="AL104" s="10"/>
      <c r="AM104" s="10">
        <f>SQRT(AL104)</f>
        <v>0</v>
      </c>
      <c r="AN104" s="10">
        <f>IF(AM104&gt;0,AM104/AM$6*1000, 0)</f>
        <v>0</v>
      </c>
      <c r="AO104" s="10"/>
      <c r="AP104" s="10"/>
      <c r="AQ104" s="10"/>
      <c r="AR104" s="10"/>
      <c r="AS104" s="10"/>
      <c r="AT104" s="10"/>
      <c r="AU104" s="10"/>
      <c r="AV104" s="10"/>
      <c r="AW104" s="10"/>
      <c r="AX104" s="17">
        <v>209</v>
      </c>
      <c r="AY104" s="10">
        <f>SQRT(AX104)</f>
        <v>14.456832294800961</v>
      </c>
      <c r="AZ104" s="21">
        <f>IF(AY104&gt;0, AY104/AY$6*1000, 0)</f>
        <v>50.676855706263225</v>
      </c>
      <c r="BA104" s="16">
        <v>0.57999999999999996</v>
      </c>
      <c r="BB104" s="15">
        <f>SQRT(BA104)</f>
        <v>0.76157731058639078</v>
      </c>
      <c r="BC104" s="10">
        <f>IF(BB104&gt;0, BB104/BB$6*10000, 0)</f>
        <v>203.98476929226601</v>
      </c>
      <c r="BD104" s="10"/>
      <c r="BE104" s="10"/>
      <c r="BF104" s="10"/>
      <c r="BG104" s="17">
        <v>4</v>
      </c>
      <c r="BH104" s="40">
        <f>IF(BG104&gt;0, BG104/BG$6*2000, 0)</f>
        <v>14.9812734082397</v>
      </c>
      <c r="BI104" s="17"/>
      <c r="BJ104" s="17"/>
      <c r="BK104" s="3"/>
      <c r="BL104" s="1"/>
      <c r="BM104" s="1"/>
      <c r="BN104" s="1"/>
    </row>
    <row r="105" spans="1:85" s="4" customFormat="1" ht="20.100000000000001" customHeight="1" x14ac:dyDescent="0.25">
      <c r="A105" s="1"/>
      <c r="B105" s="1">
        <v>3</v>
      </c>
      <c r="C105" s="26"/>
      <c r="D105" s="1" t="str">
        <f>IF(C105&lt;B105,"▲"&amp;B105-C105,IF(C105&gt;B105,"▼"&amp;C105-B105,"—"))</f>
        <v>▲3</v>
      </c>
      <c r="E105" s="2" t="s">
        <v>16</v>
      </c>
      <c r="F105" s="27">
        <f>-3</f>
        <v>-3</v>
      </c>
      <c r="G105" s="12">
        <f>IF(COUNTIF(H105:INDEX(H105:N105,$B$1),"&gt;0")=0,0,
(SUMIF(H105:INDEX(H105:N105,$B$1),"&gt;0",H105:INDEX(H105:N105,$B$1))*$B$1/COUNTIF(H105:INDEX(H105:N105,$B$1),"&gt;0"))*
IF($B$1-COUNTIF(H105:INDEX(H105:N105,$B$1),"&gt;0")&lt;=2,1,
IF($B$1-COUNTIF(H105:INDEX(H105:N105,$B$1),"&gt;0")=3,0.8,
IF($B$1-COUNTIF(H105:INDEX(H105:N105,$B$1),"&gt;0")=4,0.6,0))))</f>
        <v>448.33333333333331</v>
      </c>
      <c r="H105" s="3">
        <v>90</v>
      </c>
      <c r="I105" s="3">
        <v>106</v>
      </c>
      <c r="J105" s="3">
        <v>73</v>
      </c>
      <c r="K105" s="3">
        <v>-1</v>
      </c>
      <c r="L105" s="3">
        <v>-1</v>
      </c>
      <c r="M105" s="3"/>
      <c r="N105" s="3"/>
      <c r="O105" s="10">
        <f>0.2*IF(COUNTIF(P105:INDEX(P105:V105,$B$1),"&gt;0")=0,0,
(SUMIF(P105:INDEX(P105:V105,$B$1),"&gt;0",P105:INDEX(P105:V105,$B$1))*$B$1/COUNTIF(P105:INDEX(P105:V105,$B$1),"&gt;0"))*
IF($B$1-COUNTIF(P105:INDEX(P105:V105,$B$1),"&gt;0")&lt;=2,1,
IF($B$1-COUNTIF(P105:INDEX(P105:V105,$B$1),"&gt;0")=3,0.8,
IF($B$1-COUNTIF(P105:INDEX(P105:V105,$B$1),"&gt;0")=4,0.6,0))))</f>
        <v>42.400000000000006</v>
      </c>
      <c r="P105" s="3">
        <v>56</v>
      </c>
      <c r="Q105" s="3">
        <v>50</v>
      </c>
      <c r="R105" s="3">
        <v>-1</v>
      </c>
      <c r="S105" s="3">
        <v>-1</v>
      </c>
      <c r="T105" s="3">
        <v>-1</v>
      </c>
      <c r="U105" s="3"/>
      <c r="V105" s="3"/>
      <c r="W105" s="3">
        <f>MIN(100,
IF($B$1&gt;=1,IFERROR(VALUE(SUBSTITUTE(SUBSTITUTE(TRIM(X105),"A",""),"B","")),0),0)+
IF($B$1&gt;=2,IFERROR(VALUE(SUBSTITUTE(SUBSTITUTE(TRIM(Y105),"A",""),"B","")),0),0)+
IF($B$1&gt;=3,IFERROR(VALUE(SUBSTITUTE(SUBSTITUTE(TRIM(Z105),"A",""),"B","")),0),0)+
IF($B$1&gt;=4,IFERROR(VALUE(SUBSTITUTE(SUBSTITUTE(TRIM(AA105),"A",""),"B","")),0),0)+
IF($B$1&gt;=5,IFERROR(VALUE(SUBSTITUTE(SUBSTITUTE(TRIM(AB105),"A",""),"B","")),0),0)+
IF($B$1&gt;=6,IFERROR(VALUE(SUBSTITUTE(SUBSTITUTE(TRIM(AC105),"A",""),"B","")),0),0)+
IF($B$1&gt;=7,IFERROR(VALUE(SUBSTITUTE(SUBSTITUTE(TRIM(AD105),"A",""),"B","")),0),0)
)</f>
        <v>60</v>
      </c>
      <c r="X105" s="3" t="s">
        <v>17</v>
      </c>
      <c r="Y105" s="3" t="s">
        <v>17</v>
      </c>
      <c r="Z105" s="3" t="s">
        <v>17</v>
      </c>
      <c r="AA105" s="3"/>
      <c r="AB105" s="3"/>
      <c r="AC105" s="3"/>
      <c r="AD105" s="3"/>
      <c r="AE105" s="19">
        <f>AH105+AK105+AN105+AQ105+AT105+AW105+AZ105</f>
        <v>0</v>
      </c>
      <c r="AF105" s="10"/>
      <c r="AG105" s="10">
        <f>SQRT(AF105)</f>
        <v>0</v>
      </c>
      <c r="AH105" s="10">
        <f>IF(AG105&gt;0,AG105/AG$6*1000, 0)</f>
        <v>0</v>
      </c>
      <c r="AI105" s="10"/>
      <c r="AJ105" s="10">
        <f>SQRT(AI105)</f>
        <v>0</v>
      </c>
      <c r="AK105" s="10">
        <f>IF(AJ105&gt;0,AJ105/AJ$6*1000, 0)</f>
        <v>0</v>
      </c>
      <c r="AL105" s="10"/>
      <c r="AM105" s="10">
        <f>SQRT(AL105)</f>
        <v>0</v>
      </c>
      <c r="AN105" s="10">
        <f>IF(AM105&gt;0,AM105/AM$6*1000, 0)</f>
        <v>0</v>
      </c>
      <c r="AO105" s="10"/>
      <c r="AP105" s="10"/>
      <c r="AQ105" s="10"/>
      <c r="AR105" s="10"/>
      <c r="AS105" s="10"/>
      <c r="AT105" s="10"/>
      <c r="AU105" s="10"/>
      <c r="AV105" s="10"/>
      <c r="AW105" s="10"/>
      <c r="AX105" s="17"/>
      <c r="AY105" s="10">
        <f>SQRT(AX105)</f>
        <v>0</v>
      </c>
      <c r="AZ105" s="21">
        <f>IF(AY105&gt;0, AY105/AY$6*1000, 0)</f>
        <v>0</v>
      </c>
      <c r="BA105" s="16">
        <v>0.71</v>
      </c>
      <c r="BB105" s="15">
        <f>SQRT(BA105)</f>
        <v>0.84261497731763579</v>
      </c>
      <c r="BC105" s="10">
        <f>IF(BB105&gt;0, BB105/BB$6*10000, 0)</f>
        <v>225.69031319749163</v>
      </c>
      <c r="BD105" s="10"/>
      <c r="BE105" s="10"/>
      <c r="BF105" s="10"/>
      <c r="BG105" s="17">
        <v>5</v>
      </c>
      <c r="BH105" s="40">
        <f>IF(BG105&gt;0, BG105/BG$6*2000, 0)</f>
        <v>18.726591760299627</v>
      </c>
      <c r="BI105" s="17"/>
      <c r="BJ105" s="17"/>
      <c r="BK105" s="3"/>
      <c r="BL105" s="1"/>
      <c r="BM105" s="1"/>
      <c r="BN105" s="1"/>
    </row>
    <row r="106" spans="1:85" s="4" customFormat="1" ht="20.100000000000001" customHeight="1" x14ac:dyDescent="0.25">
      <c r="A106" s="1"/>
      <c r="B106" s="1">
        <v>100</v>
      </c>
      <c r="C106" s="26"/>
      <c r="D106" s="1" t="str">
        <f>IF(C106&lt;B106,"▲"&amp;B106-C106,IF(C106&gt;B106,"▼"&amp;C106-B106,"—"))</f>
        <v>▲100</v>
      </c>
      <c r="E106" s="2" t="s">
        <v>113</v>
      </c>
      <c r="F106" s="27">
        <v>-3</v>
      </c>
      <c r="G106" s="12">
        <f>IF(COUNTIF(H106:INDEX(H106:N106,$B$1),"&gt;0")=0,0,
(SUMIF(H106:INDEX(H106:N106,$B$1),"&gt;0",H106:INDEX(H106:N106,$B$1))*$B$1/COUNTIF(H106:INDEX(H106:N106,$B$1),"&gt;0"))*
IF($B$1-COUNTIF(H106:INDEX(H106:N106,$B$1),"&gt;0")&lt;=2,1,
IF($B$1-COUNTIF(H106:INDEX(H106:N106,$B$1),"&gt;0")=3,0.8,
IF($B$1-COUNTIF(H106:INDEX(H106:N106,$B$1),"&gt;0")=4,0.6,0))))</f>
        <v>326</v>
      </c>
      <c r="H106" s="3">
        <v>80</v>
      </c>
      <c r="I106" s="3">
        <v>83</v>
      </c>
      <c r="J106" s="3">
        <v>-3</v>
      </c>
      <c r="K106" s="3">
        <v>-3</v>
      </c>
      <c r="L106" s="3">
        <v>-3</v>
      </c>
      <c r="M106" s="3"/>
      <c r="N106" s="3"/>
      <c r="O106" s="10">
        <f>0.2*IF(COUNTIF(P106:INDEX(P106:V106,$B$1),"&gt;0")=0,0,
(SUMIF(P106:INDEX(P106:V106,$B$1),"&gt;0",P106:INDEX(P106:V106,$B$1))*$B$1/COUNTIF(P106:INDEX(P106:V106,$B$1),"&gt;0"))*
IF($B$1-COUNTIF(P106:INDEX(P106:V106,$B$1),"&gt;0")&lt;=2,1,
IF($B$1-COUNTIF(P106:INDEX(P106:V106,$B$1),"&gt;0")=3,0.8,
IF($B$1-COUNTIF(P106:INDEX(P106:V106,$B$1),"&gt;0")=4,0.6,0))))</f>
        <v>38</v>
      </c>
      <c r="P106" s="3">
        <v>51</v>
      </c>
      <c r="Q106" s="3">
        <v>44</v>
      </c>
      <c r="R106" s="3">
        <v>-3</v>
      </c>
      <c r="S106" s="3">
        <v>-3</v>
      </c>
      <c r="T106" s="3">
        <v>-3</v>
      </c>
      <c r="U106" s="3"/>
      <c r="V106" s="3"/>
      <c r="W106" s="3">
        <f>MIN(100,
IF($B$1&gt;=1,IFERROR(VALUE(SUBSTITUTE(SUBSTITUTE(TRIM(X106),"A",""),"B","")),0),0)+
IF($B$1&gt;=2,IFERROR(VALUE(SUBSTITUTE(SUBSTITUTE(TRIM(Y106),"A",""),"B","")),0),0)+
IF($B$1&gt;=3,IFERROR(VALUE(SUBSTITUTE(SUBSTITUTE(TRIM(Z106),"A",""),"B","")),0),0)+
IF($B$1&gt;=4,IFERROR(VALUE(SUBSTITUTE(SUBSTITUTE(TRIM(AA106),"A",""),"B","")),0),0)+
IF($B$1&gt;=5,IFERROR(VALUE(SUBSTITUTE(SUBSTITUTE(TRIM(AB106),"A",""),"B","")),0),0)+
IF($B$1&gt;=6,IFERROR(VALUE(SUBSTITUTE(SUBSTITUTE(TRIM(AC106),"A",""),"B","")),0),0)+
IF($B$1&gt;=7,IFERROR(VALUE(SUBSTITUTE(SUBSTITUTE(TRIM(AD106),"A",""),"B","")),0),0)
)</f>
        <v>40</v>
      </c>
      <c r="X106" s="3" t="s">
        <v>14</v>
      </c>
      <c r="Y106" s="3" t="s">
        <v>14</v>
      </c>
      <c r="Z106" s="3"/>
      <c r="AA106" s="3"/>
      <c r="AB106" s="3"/>
      <c r="AC106" s="3"/>
      <c r="AD106" s="3"/>
      <c r="AE106" s="19">
        <f>AH106+AK106+AN106+AQ106+AT106+AW106+AZ106</f>
        <v>0</v>
      </c>
      <c r="AF106" s="10"/>
      <c r="AG106" s="10">
        <f>SQRT(AF106)</f>
        <v>0</v>
      </c>
      <c r="AH106" s="10">
        <f>IF(AG106&gt;0,AG106/AG$6*1000, 0)</f>
        <v>0</v>
      </c>
      <c r="AI106" s="10"/>
      <c r="AJ106" s="10">
        <f>SQRT(AI106)</f>
        <v>0</v>
      </c>
      <c r="AK106" s="10">
        <f>IF(AJ106&gt;0,AJ106/AJ$6*1000, 0)</f>
        <v>0</v>
      </c>
      <c r="AL106" s="10"/>
      <c r="AM106" s="10">
        <f>SQRT(AL106)</f>
        <v>0</v>
      </c>
      <c r="AN106" s="10">
        <f>IF(AM106&gt;0,AM106/AM$6*1000, 0)</f>
        <v>0</v>
      </c>
      <c r="AO106" s="10"/>
      <c r="AP106" s="10"/>
      <c r="AQ106" s="10"/>
      <c r="AR106" s="10"/>
      <c r="AS106" s="10"/>
      <c r="AT106" s="10"/>
      <c r="AU106" s="10"/>
      <c r="AV106" s="10"/>
      <c r="AW106" s="10"/>
      <c r="AX106" s="17"/>
      <c r="AY106" s="10">
        <f>SQRT(AX106)</f>
        <v>0</v>
      </c>
      <c r="AZ106" s="21">
        <f>IF(AY106&gt;0, AY106/AY$6*1000, 0)</f>
        <v>0</v>
      </c>
      <c r="BA106" s="16">
        <v>0.2</v>
      </c>
      <c r="BB106" s="15">
        <f>SQRT(BA106)</f>
        <v>0.44721359549995793</v>
      </c>
      <c r="BC106" s="10">
        <f>IF(BB106&gt;0, BB106/BB$6*10000, 0)</f>
        <v>119.78398100146059</v>
      </c>
      <c r="BD106" s="10"/>
      <c r="BE106" s="10"/>
      <c r="BF106" s="10"/>
      <c r="BG106" s="17">
        <v>1</v>
      </c>
      <c r="BH106" s="40">
        <f>IF(BG106&gt;0, BG106/BG$6*2000, 0)</f>
        <v>3.7453183520599249</v>
      </c>
      <c r="BI106" s="17"/>
      <c r="BJ106" s="17"/>
      <c r="BK106" s="3"/>
      <c r="BL106" s="1"/>
      <c r="BM106" s="1"/>
      <c r="BN106" s="1"/>
    </row>
    <row r="107" spans="1:85" s="4" customFormat="1" ht="20.100000000000001" customHeight="1" x14ac:dyDescent="0.25">
      <c r="A107" s="1"/>
      <c r="B107" s="1">
        <v>8</v>
      </c>
      <c r="C107" s="26"/>
      <c r="D107" s="1" t="str">
        <f>IF(C107&lt;B107,"▲"&amp;B107-C107,IF(C107&gt;B107,"▼"&amp;C107-B107,"—"))</f>
        <v>▲8</v>
      </c>
      <c r="E107" s="2" t="s">
        <v>22</v>
      </c>
      <c r="F107" s="27">
        <v>-3</v>
      </c>
      <c r="G107" s="12">
        <f>IF(COUNTIF(H107:INDEX(H107:N107,$B$1),"&gt;0")=0,0,
(SUMIF(H107:INDEX(H107:N107,$B$1),"&gt;0",H107:INDEX(H107:N107,$B$1))*$B$1/COUNTIF(H107:INDEX(H107:N107,$B$1),"&gt;0"))*
IF($B$1-COUNTIF(H107:INDEX(H107:N107,$B$1),"&gt;0")&lt;=2,1,
IF($B$1-COUNTIF(H107:INDEX(H107:N107,$B$1),"&gt;0")=3,0.8,
IF($B$1-COUNTIF(H107:INDEX(H107:N107,$B$1),"&gt;0")=4,0.6,0))))</f>
        <v>486.25</v>
      </c>
      <c r="H107" s="3">
        <v>66</v>
      </c>
      <c r="I107" s="3">
        <v>53</v>
      </c>
      <c r="J107" s="3">
        <v>124</v>
      </c>
      <c r="K107" s="3">
        <v>146</v>
      </c>
      <c r="L107" s="3">
        <v>-1</v>
      </c>
      <c r="M107" s="3"/>
      <c r="N107" s="3"/>
      <c r="O107" s="10">
        <f>0.2*IF(COUNTIF(P107:INDEX(P107:V107,$B$1),"&gt;0")=0,0,
(SUMIF(P107:INDEX(P107:V107,$B$1),"&gt;0",P107:INDEX(P107:V107,$B$1))*$B$1/COUNTIF(P107:INDEX(P107:V107,$B$1),"&gt;0"))*
IF($B$1-COUNTIF(P107:INDEX(P107:V107,$B$1),"&gt;0")&lt;=2,1,
IF($B$1-COUNTIF(P107:INDEX(P107:V107,$B$1),"&gt;0")=3,0.8,
IF($B$1-COUNTIF(P107:INDEX(P107:V107,$B$1),"&gt;0")=4,0.6,0))))</f>
        <v>33.25</v>
      </c>
      <c r="P107" s="3">
        <v>38</v>
      </c>
      <c r="Q107" s="3">
        <v>36</v>
      </c>
      <c r="R107" s="3">
        <v>24</v>
      </c>
      <c r="S107" s="3">
        <v>35</v>
      </c>
      <c r="T107" s="3">
        <v>-1</v>
      </c>
      <c r="U107" s="3"/>
      <c r="V107" s="3"/>
      <c r="W107" s="3">
        <f>MIN(100,
IF($B$1&gt;=1,IFERROR(VALUE(SUBSTITUTE(SUBSTITUTE(TRIM(X107),"A",""),"B","")),0),0)+
IF($B$1&gt;=2,IFERROR(VALUE(SUBSTITUTE(SUBSTITUTE(TRIM(Y107),"A",""),"B","")),0),0)+
IF($B$1&gt;=3,IFERROR(VALUE(SUBSTITUTE(SUBSTITUTE(TRIM(Z107),"A",""),"B","")),0),0)+
IF($B$1&gt;=4,IFERROR(VALUE(SUBSTITUTE(SUBSTITUTE(TRIM(AA107),"A",""),"B","")),0),0)+
IF($B$1&gt;=5,IFERROR(VALUE(SUBSTITUTE(SUBSTITUTE(TRIM(AB107),"A",""),"B","")),0),0)+
IF($B$1&gt;=6,IFERROR(VALUE(SUBSTITUTE(SUBSTITUTE(TRIM(AC107),"A",""),"B","")),0),0)+
IF($B$1&gt;=7,IFERROR(VALUE(SUBSTITUTE(SUBSTITUTE(TRIM(AD107),"A",""),"B","")),0),0)
)</f>
        <v>60</v>
      </c>
      <c r="X107" s="3" t="s">
        <v>14</v>
      </c>
      <c r="Y107" s="3" t="s">
        <v>14</v>
      </c>
      <c r="Z107" s="3" t="s">
        <v>14</v>
      </c>
      <c r="AA107" s="3"/>
      <c r="AB107" s="3"/>
      <c r="AC107" s="3"/>
      <c r="AD107" s="3"/>
      <c r="AE107" s="19">
        <f>AH107+AK107+AN107+AQ107+AT107+AW107+AZ107</f>
        <v>110.13369791408907</v>
      </c>
      <c r="AF107" s="10">
        <v>5.4</v>
      </c>
      <c r="AG107" s="10">
        <f>SQRT(AF107)</f>
        <v>2.3237900077244502</v>
      </c>
      <c r="AH107" s="10">
        <f>IF(AG107&gt;0,AG107/AG$6*1000, 0)</f>
        <v>55.941661858295042</v>
      </c>
      <c r="AI107" s="10"/>
      <c r="AJ107" s="10">
        <f>SQRT(AI107)</f>
        <v>0</v>
      </c>
      <c r="AK107" s="10">
        <f>IF(AJ107&gt;0,AJ107/AJ$6*1000, 0)</f>
        <v>0</v>
      </c>
      <c r="AL107" s="10"/>
      <c r="AM107" s="10">
        <f>SQRT(AL107)</f>
        <v>0</v>
      </c>
      <c r="AN107" s="10">
        <f>IF(AM107&gt;0,AM107/AM$6*1000, 0)</f>
        <v>0</v>
      </c>
      <c r="AO107" s="10"/>
      <c r="AP107" s="10"/>
      <c r="AQ107" s="10"/>
      <c r="AR107" s="10"/>
      <c r="AS107" s="10"/>
      <c r="AT107" s="10"/>
      <c r="AU107" s="10"/>
      <c r="AV107" s="10"/>
      <c r="AW107" s="10"/>
      <c r="AX107" s="17">
        <v>239</v>
      </c>
      <c r="AY107" s="10">
        <f>SQRT(AX107)</f>
        <v>15.459624833740307</v>
      </c>
      <c r="AZ107" s="21">
        <f>IF(AY107&gt;0, AY107/AY$6*1000, 0)</f>
        <v>54.192036055794027</v>
      </c>
      <c r="BA107" s="16">
        <v>0.11</v>
      </c>
      <c r="BB107" s="15">
        <f>SQRT(BA107)</f>
        <v>0.33166247903553997</v>
      </c>
      <c r="BC107" s="10">
        <f>IF(BB107&gt;0, BB107/BB$6*10000, 0)</f>
        <v>88.83417786813277</v>
      </c>
      <c r="BD107" s="10"/>
      <c r="BE107" s="10"/>
      <c r="BF107" s="10"/>
      <c r="BG107" s="17">
        <v>1</v>
      </c>
      <c r="BH107" s="40">
        <f>IF(BG107&gt;0, BG107/BG$6*2000, 0)</f>
        <v>3.7453183520599249</v>
      </c>
      <c r="BI107" s="17"/>
      <c r="BJ107" s="17"/>
      <c r="BK107" s="3"/>
      <c r="BL107" s="1"/>
      <c r="BM107" s="1"/>
      <c r="BN107" s="1"/>
    </row>
    <row r="108" spans="1:85" s="4" customFormat="1" ht="20.100000000000001" customHeight="1" x14ac:dyDescent="0.25">
      <c r="A108" s="1"/>
      <c r="B108" s="1">
        <v>38</v>
      </c>
      <c r="C108" s="26"/>
      <c r="D108" s="1" t="str">
        <f>IF(C108&lt;B108,"▲"&amp;B108-C108,IF(C108&gt;B108,"▼"&amp;C108-B108,"—"))</f>
        <v>▲38</v>
      </c>
      <c r="E108" s="2" t="s">
        <v>53</v>
      </c>
      <c r="F108" s="27">
        <v>-3</v>
      </c>
      <c r="G108" s="12">
        <f>IF(COUNTIF(H108:INDEX(H108:N108,$B$1),"&gt;0")=0,0,
(SUMIF(H108:INDEX(H108:N108,$B$1),"&gt;0",H108:INDEX(H108:N108,$B$1))*$B$1/COUNTIF(H108:INDEX(H108:N108,$B$1),"&gt;0"))*
IF($B$1-COUNTIF(H108:INDEX(H108:N108,$B$1),"&gt;0")&lt;=2,1,
IF($B$1-COUNTIF(H108:INDEX(H108:N108,$B$1),"&gt;0")=3,0.8,
IF($B$1-COUNTIF(H108:INDEX(H108:N108,$B$1),"&gt;0")=4,0.6,0))))</f>
        <v>218</v>
      </c>
      <c r="H108" s="3">
        <v>-1</v>
      </c>
      <c r="I108" s="3">
        <v>45</v>
      </c>
      <c r="J108" s="3">
        <v>64</v>
      </c>
      <c r="K108" s="3">
        <v>-1</v>
      </c>
      <c r="L108" s="3">
        <v>-1</v>
      </c>
      <c r="M108" s="3"/>
      <c r="N108" s="3"/>
      <c r="O108" s="10">
        <f>0.2*IF(COUNTIF(P108:INDEX(P108:V108,$B$1),"&gt;0")=0,0,
(SUMIF(P108:INDEX(P108:V108,$B$1),"&gt;0",P108:INDEX(P108:V108,$B$1))*$B$1/COUNTIF(P108:INDEX(P108:V108,$B$1),"&gt;0"))*
IF($B$1-COUNTIF(P108:INDEX(P108:V108,$B$1),"&gt;0")&lt;=2,1,
IF($B$1-COUNTIF(P108:INDEX(P108:V108,$B$1),"&gt;0")=3,0.8,
IF($B$1-COUNTIF(P108:INDEX(P108:V108,$B$1),"&gt;0")=4,0.6,0))))</f>
        <v>22.8</v>
      </c>
      <c r="P108" s="3">
        <v>-1</v>
      </c>
      <c r="Q108" s="3">
        <v>38</v>
      </c>
      <c r="R108" s="3">
        <v>-1</v>
      </c>
      <c r="S108" s="3">
        <v>-1</v>
      </c>
      <c r="T108" s="3">
        <v>-1</v>
      </c>
      <c r="U108" s="3"/>
      <c r="V108" s="3"/>
      <c r="W108" s="3">
        <f>MIN(100,
IF($B$1&gt;=1,IFERROR(VALUE(SUBSTITUTE(SUBSTITUTE(TRIM(X108),"A",""),"B","")),0),0)+
IF($B$1&gt;=2,IFERROR(VALUE(SUBSTITUTE(SUBSTITUTE(TRIM(Y108),"A",""),"B","")),0),0)+
IF($B$1&gt;=3,IFERROR(VALUE(SUBSTITUTE(SUBSTITUTE(TRIM(Z108),"A",""),"B","")),0),0)+
IF($B$1&gt;=4,IFERROR(VALUE(SUBSTITUTE(SUBSTITUTE(TRIM(AA108),"A",""),"B","")),0),0)+
IF($B$1&gt;=5,IFERROR(VALUE(SUBSTITUTE(SUBSTITUTE(TRIM(AB108),"A",""),"B","")),0),0)+
IF($B$1&gt;=6,IFERROR(VALUE(SUBSTITUTE(SUBSTITUTE(TRIM(AC108),"A",""),"B","")),0),0)+
IF($B$1&gt;=7,IFERROR(VALUE(SUBSTITUTE(SUBSTITUTE(TRIM(AD108),"A",""),"B","")),0),0)
)</f>
        <v>20</v>
      </c>
      <c r="X108" s="3"/>
      <c r="Y108" s="3" t="s">
        <v>17</v>
      </c>
      <c r="Z108" s="3"/>
      <c r="AA108" s="3"/>
      <c r="AB108" s="3"/>
      <c r="AC108" s="3"/>
      <c r="AD108" s="3"/>
      <c r="AE108" s="19">
        <f>AH108+AK108+AN108+AQ108+AT108+AW108+AZ108</f>
        <v>0</v>
      </c>
      <c r="AF108" s="10"/>
      <c r="AG108" s="10">
        <f>SQRT(AF108)</f>
        <v>0</v>
      </c>
      <c r="AH108" s="10">
        <f>IF(AG108&gt;0,AG108/AG$6*1000, 0)</f>
        <v>0</v>
      </c>
      <c r="AI108" s="10"/>
      <c r="AJ108" s="10">
        <f>SQRT(AI108)</f>
        <v>0</v>
      </c>
      <c r="AK108" s="10">
        <f>IF(AJ108&gt;0,AJ108/AJ$6*1000, 0)</f>
        <v>0</v>
      </c>
      <c r="AL108" s="10"/>
      <c r="AM108" s="10">
        <f>SQRT(AL108)</f>
        <v>0</v>
      </c>
      <c r="AN108" s="10">
        <f>IF(AM108&gt;0,AM108/AM$6*1000, 0)</f>
        <v>0</v>
      </c>
      <c r="AO108" s="10"/>
      <c r="AP108" s="10"/>
      <c r="AQ108" s="10"/>
      <c r="AR108" s="10"/>
      <c r="AS108" s="10"/>
      <c r="AT108" s="10"/>
      <c r="AU108" s="10"/>
      <c r="AV108" s="10"/>
      <c r="AW108" s="10"/>
      <c r="AX108" s="17"/>
      <c r="AY108" s="10">
        <f>SQRT(AX108)</f>
        <v>0</v>
      </c>
      <c r="AZ108" s="21">
        <f>IF(AY108&gt;0, AY108/AY$6*1000, 0)</f>
        <v>0</v>
      </c>
      <c r="BA108" s="16">
        <v>0.46</v>
      </c>
      <c r="BB108" s="15">
        <f>SQRT(BA108)</f>
        <v>0.67823299831252681</v>
      </c>
      <c r="BC108" s="10">
        <f>IF(BB108&gt;0, BB108/BB$6*10000, 0)</f>
        <v>181.66140162534262</v>
      </c>
      <c r="BD108" s="10"/>
      <c r="BE108" s="10"/>
      <c r="BF108" s="10"/>
      <c r="BG108" s="17">
        <v>4</v>
      </c>
      <c r="BH108" s="40">
        <f>IF(BG108&gt;0, BG108/BG$6*2000, 0)</f>
        <v>14.9812734082397</v>
      </c>
      <c r="BI108" s="17"/>
      <c r="BJ108" s="17"/>
      <c r="BK108" s="3"/>
      <c r="BL108" s="1"/>
      <c r="BM108" s="1"/>
      <c r="BN108" s="1"/>
    </row>
    <row r="109" spans="1:85" ht="20.100000000000001" customHeight="1" x14ac:dyDescent="0.25">
      <c r="B109" s="1">
        <v>93</v>
      </c>
      <c r="C109" s="26"/>
      <c r="D109" s="1" t="str">
        <f>IF(C109&lt;B109,"▲"&amp;B109-C109,IF(C109&gt;B109,"▼"&amp;C109-B109,"—"))</f>
        <v>▲93</v>
      </c>
      <c r="E109" s="2" t="s">
        <v>106</v>
      </c>
      <c r="F109" s="27">
        <v>-3</v>
      </c>
      <c r="G109" s="12">
        <f>IF(COUNTIF(H109:INDEX(H109:N109,$B$1),"&gt;0")=0,0,
(SUMIF(H109:INDEX(H109:N109,$B$1),"&gt;0",H109:INDEX(H109:N109,$B$1))*$B$1/COUNTIF(H109:INDEX(H109:N109,$B$1),"&gt;0"))*
IF($B$1-COUNTIF(H109:INDEX(H109:N109,$B$1),"&gt;0")&lt;=2,1,
IF($B$1-COUNTIF(H109:INDEX(H109:N109,$B$1),"&gt;0")=3,0.8,
IF($B$1-COUNTIF(H109:INDEX(H109:N109,$B$1),"&gt;0")=4,0.6,0))))</f>
        <v>45</v>
      </c>
      <c r="H109" s="3">
        <v>8</v>
      </c>
      <c r="I109" s="3">
        <v>14</v>
      </c>
      <c r="J109" s="3">
        <v>5</v>
      </c>
      <c r="K109" s="3">
        <v>-1</v>
      </c>
      <c r="L109" s="3">
        <v>-1</v>
      </c>
      <c r="M109" s="3"/>
      <c r="N109" s="3"/>
      <c r="O109" s="10">
        <f>0.2*IF(COUNTIF(P109:INDEX(P109:V109,$B$1),"&gt;0")=0,0,
(SUMIF(P109:INDEX(P109:V109,$B$1),"&gt;0",P109:INDEX(P109:V109,$B$1))*$B$1/COUNTIF(P109:INDEX(P109:V109,$B$1),"&gt;0"))*
IF($B$1-COUNTIF(P109:INDEX(P109:V109,$B$1),"&gt;0")&lt;=2,1,
IF($B$1-COUNTIF(P109:INDEX(P109:V109,$B$1),"&gt;0")=3,0.8,
IF($B$1-COUNTIF(P109:INDEX(P109:V109,$B$1),"&gt;0")=4,0.6,0))))</f>
        <v>7.6666666666666679</v>
      </c>
      <c r="P109" s="3">
        <v>9</v>
      </c>
      <c r="Q109" s="3">
        <v>6</v>
      </c>
      <c r="R109" s="3">
        <v>8</v>
      </c>
      <c r="S109" s="3">
        <v>-1</v>
      </c>
      <c r="T109" s="3">
        <v>-1</v>
      </c>
      <c r="W109" s="3">
        <f>MIN(100,
IF($B$1&gt;=1,IFERROR(VALUE(SUBSTITUTE(SUBSTITUTE(TRIM(X109),"A",""),"B","")),0),0)+
IF($B$1&gt;=2,IFERROR(VALUE(SUBSTITUTE(SUBSTITUTE(TRIM(Y109),"A",""),"B","")),0),0)+
IF($B$1&gt;=3,IFERROR(VALUE(SUBSTITUTE(SUBSTITUTE(TRIM(Z109),"A",""),"B","")),0),0)+
IF($B$1&gt;=4,IFERROR(VALUE(SUBSTITUTE(SUBSTITUTE(TRIM(AA109),"A",""),"B","")),0),0)+
IF($B$1&gt;=5,IFERROR(VALUE(SUBSTITUTE(SUBSTITUTE(TRIM(AB109),"A",""),"B","")),0),0)+
IF($B$1&gt;=6,IFERROR(VALUE(SUBSTITUTE(SUBSTITUTE(TRIM(AC109),"A",""),"B","")),0),0)+
IF($B$1&gt;=7,IFERROR(VALUE(SUBSTITUTE(SUBSTITUTE(TRIM(AD109),"A",""),"B","")),0),0)
)</f>
        <v>0</v>
      </c>
      <c r="X109" s="3"/>
      <c r="AE109" s="19">
        <f>AH109+AK109+AN109+AQ109+AT109+AW109+AZ109</f>
        <v>0</v>
      </c>
      <c r="AG109" s="10">
        <f>SQRT(AF109)</f>
        <v>0</v>
      </c>
      <c r="AH109" s="10">
        <f>IF(AG109&gt;0,AG109/AG$6*1000, 0)</f>
        <v>0</v>
      </c>
      <c r="AI109" s="10"/>
      <c r="AJ109" s="10">
        <f>SQRT(AI109)</f>
        <v>0</v>
      </c>
      <c r="AK109" s="10">
        <f>IF(AJ109&gt;0,AJ109/AJ$6*1000, 0)</f>
        <v>0</v>
      </c>
      <c r="AM109" s="10">
        <f>SQRT(AL109)</f>
        <v>0</v>
      </c>
      <c r="AN109" s="10">
        <f>IF(AM109&gt;0,AM109/AM$6*1000, 0)</f>
        <v>0</v>
      </c>
      <c r="AY109" s="10">
        <f>SQRT(AX109)</f>
        <v>0</v>
      </c>
      <c r="AZ109" s="21">
        <f>IF(AY109&gt;0, AY109/AY$6*1000, 0)</f>
        <v>0</v>
      </c>
      <c r="BB109" s="15">
        <f>SQRT(BA109)</f>
        <v>0</v>
      </c>
      <c r="BC109" s="10">
        <f>IF(BB109&gt;0, BB109/BB$6*10000, 0)</f>
        <v>0</v>
      </c>
      <c r="BG109" s="17"/>
      <c r="BH109" s="40">
        <f>IF(BG109&gt;0, BG109/BG$6*2000, 0)</f>
        <v>0</v>
      </c>
      <c r="BJ109" s="17"/>
      <c r="BK109" s="5"/>
      <c r="BL109" s="3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20.100000000000001" customHeight="1" x14ac:dyDescent="0.25">
      <c r="B110" s="1"/>
      <c r="C110" s="26"/>
      <c r="D110" s="1" t="str">
        <f>IF(C110&lt;B110,"▲"&amp;B110-C110,IF(C110&gt;B110,"▼"&amp;C110-B110,"—"))</f>
        <v>—</v>
      </c>
      <c r="E110" s="2"/>
      <c r="F110" s="27"/>
      <c r="G110" s="12"/>
      <c r="H110" s="3"/>
      <c r="I110" s="3"/>
      <c r="K110" s="3"/>
      <c r="L110" s="3"/>
      <c r="M110" s="3"/>
      <c r="N110" s="3"/>
      <c r="O110" s="10"/>
      <c r="P110" s="3"/>
      <c r="X110" s="3"/>
      <c r="AE110" s="19">
        <f>AH110+AK110+AN110+AQ110+AT110+AW110+AZ110</f>
        <v>0</v>
      </c>
      <c r="AG110" s="10">
        <f>SQRT(AF110)</f>
        <v>0</v>
      </c>
      <c r="AH110" s="10">
        <f>IF(AG110&gt;0,AG110/AG$6*1000, 0)</f>
        <v>0</v>
      </c>
      <c r="AI110" s="10"/>
      <c r="AJ110" s="10">
        <f>SQRT(AI110)</f>
        <v>0</v>
      </c>
      <c r="AK110" s="10">
        <f>IF(AJ110&gt;0,AJ110/AJ$6*1000, 0)</f>
        <v>0</v>
      </c>
      <c r="AM110" s="10">
        <f>SQRT(AL110)</f>
        <v>0</v>
      </c>
      <c r="AN110" s="10">
        <f>IF(AM110&gt;0,AM110/AM$6*1000, 0)</f>
        <v>0</v>
      </c>
      <c r="AY110" s="10">
        <f>SQRT(AX110)</f>
        <v>0</v>
      </c>
      <c r="AZ110" s="21">
        <f>IF(AY110&gt;0, AY110/AY$6*1000, 0)</f>
        <v>0</v>
      </c>
      <c r="BG110" s="17"/>
      <c r="BH110" s="40">
        <f>IF(BG110&gt;0, BG110/BG$6*2000, 0)</f>
        <v>0</v>
      </c>
      <c r="BJ110" s="17"/>
      <c r="BK110" s="5"/>
      <c r="BL110" s="3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s="4" customFormat="1" ht="20.100000000000001" customHeight="1" thickBot="1" x14ac:dyDescent="0.3">
      <c r="A111" s="1"/>
      <c r="B111" s="1"/>
      <c r="C111" s="28"/>
      <c r="D111" s="29" t="str">
        <f>IF(C111&lt;B111,"▲"&amp;B111-C111,IF(C111&gt;B111,"▼"&amp;C111-B111,"—"))</f>
        <v>—</v>
      </c>
      <c r="E111" s="30"/>
      <c r="F111" s="31"/>
      <c r="G111" s="42"/>
      <c r="H111" s="43"/>
      <c r="I111" s="43"/>
      <c r="J111" s="43"/>
      <c r="K111" s="43"/>
      <c r="L111" s="43"/>
      <c r="M111" s="43"/>
      <c r="N111" s="43"/>
      <c r="O111" s="2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22">
        <f>AH111+AK111+AN111+AQ111+AT111+AW111+AZ111</f>
        <v>0</v>
      </c>
      <c r="AF111" s="23"/>
      <c r="AG111" s="23">
        <f>SQRT(AF111)</f>
        <v>0</v>
      </c>
      <c r="AH111" s="23">
        <f>IF(AG111&gt;0,AG111/AG$6*1000, 0)</f>
        <v>0</v>
      </c>
      <c r="AI111" s="23"/>
      <c r="AJ111" s="23">
        <f>SQRT(AI111)</f>
        <v>0</v>
      </c>
      <c r="AK111" s="23">
        <f>IF(AJ111&gt;0,AJ111/AJ$6*1000, 0)</f>
        <v>0</v>
      </c>
      <c r="AL111" s="23"/>
      <c r="AM111" s="23">
        <f>SQRT(AL111)</f>
        <v>0</v>
      </c>
      <c r="AN111" s="23">
        <f>IF(AM111&gt;0,AM111/AM$6*1000, 0)</f>
        <v>0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4"/>
      <c r="AY111" s="23">
        <f>SQRT(AX111)</f>
        <v>0</v>
      </c>
      <c r="AZ111" s="25">
        <f>IF(AY111&gt;0, AY111/AY$6*1000, 0)</f>
        <v>0</v>
      </c>
      <c r="BA111" s="44"/>
      <c r="BB111" s="45"/>
      <c r="BC111" s="23"/>
      <c r="BD111" s="23"/>
      <c r="BE111" s="23"/>
      <c r="BF111" s="23"/>
      <c r="BG111" s="24"/>
      <c r="BH111" s="41">
        <f>IF(BG111&gt;0, BG111/BG$6*2000, 0)</f>
        <v>0</v>
      </c>
      <c r="BI111" s="17"/>
      <c r="BJ111" s="17"/>
      <c r="BK111" s="3"/>
      <c r="BL111" s="1"/>
      <c r="BM111" s="1"/>
      <c r="BN111" s="1"/>
    </row>
    <row r="112" spans="1:85" ht="20.100000000000001" customHeight="1" x14ac:dyDescent="0.25">
      <c r="B112" s="1"/>
      <c r="C112" s="1"/>
      <c r="D112" s="1"/>
    </row>
    <row r="113" spans="2:4" ht="20.100000000000001" customHeight="1" x14ac:dyDescent="0.25">
      <c r="B113" s="1"/>
      <c r="C113" s="1"/>
      <c r="D113" s="1"/>
    </row>
    <row r="114" spans="2:4" ht="0" hidden="1" customHeight="1" x14ac:dyDescent="0.25">
      <c r="B114" s="1"/>
      <c r="C114" s="1"/>
      <c r="D114" s="1"/>
    </row>
  </sheetData>
  <phoneticPr fontId="2" type="noConversion"/>
  <printOptions horizontalCentered="1" verticalCentered="1"/>
  <pageMargins left="0.25" right="0.25" top="0.75" bottom="0.75" header="0.3" footer="0.3"/>
  <pageSetup paperSize="9" scale="4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0118</vt:lpstr>
      <vt:lpstr>'0118'!Print_Area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2026-02-15T16:38:25Z</dcterms:created>
  <dcterms:modified xsi:type="dcterms:W3CDTF">2026-02-18T06:54:36Z</dcterms:modified>
</cp:coreProperties>
</file>