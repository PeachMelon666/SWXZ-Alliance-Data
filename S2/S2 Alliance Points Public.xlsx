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Last War\"/>
    </mc:Choice>
  </mc:AlternateContent>
  <xr:revisionPtr revIDLastSave="0" documentId="13_ncr:1_{A2E14C95-7187-4E5C-98E8-C8214BCF49A7}" xr6:coauthVersionLast="47" xr6:coauthVersionMax="47" xr10:uidLastSave="{00000000-0000-0000-0000-000000000000}"/>
  <bookViews>
    <workbookView xWindow="-108" yWindow="-108" windowWidth="23256" windowHeight="12456" xr2:uid="{55963CE4-070A-4457-9011-CD92A571433A}"/>
  </bookViews>
  <sheets>
    <sheet name="0118" sheetId="1" r:id="rId1"/>
  </sheets>
  <definedNames>
    <definedName name="_xlnm._FilterDatabase" localSheetId="0" hidden="1">'0118'!$H$1:$V$2</definedName>
    <definedName name="_xlnm.Print_Area" localSheetId="0">'0118'!$E$1:$T$97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6" i="1" l="1"/>
  <c r="BB7" i="1"/>
  <c r="BB8" i="1"/>
  <c r="BB11" i="1"/>
  <c r="BB10" i="1"/>
  <c r="BB15" i="1"/>
  <c r="BB16" i="1"/>
  <c r="BB19" i="1"/>
  <c r="BB9" i="1"/>
  <c r="BB13" i="1"/>
  <c r="BB17" i="1"/>
  <c r="BB14" i="1"/>
  <c r="BB12" i="1"/>
  <c r="BB20" i="1"/>
  <c r="BB18" i="1"/>
  <c r="BB21" i="1"/>
  <c r="BB22" i="1"/>
  <c r="BC22" i="1" s="1"/>
  <c r="BB27" i="1"/>
  <c r="BB25" i="1"/>
  <c r="BB24" i="1"/>
  <c r="BB26" i="1"/>
  <c r="BB28" i="1"/>
  <c r="BC28" i="1" s="1"/>
  <c r="BB23" i="1"/>
  <c r="BB31" i="1"/>
  <c r="BB29" i="1"/>
  <c r="BB30" i="1"/>
  <c r="BC30" i="1" s="1"/>
  <c r="BB32" i="1"/>
  <c r="BC32" i="1" s="1"/>
  <c r="BB35" i="1"/>
  <c r="BB34" i="1"/>
  <c r="BB36" i="1"/>
  <c r="BC36" i="1" s="1"/>
  <c r="BB33" i="1"/>
  <c r="BC33" i="1" s="1"/>
  <c r="BB37" i="1"/>
  <c r="BB38" i="1"/>
  <c r="BC38" i="1" s="1"/>
  <c r="BB73" i="1"/>
  <c r="BB39" i="1"/>
  <c r="BB70" i="1"/>
  <c r="BB44" i="1"/>
  <c r="BC44" i="1" s="1"/>
  <c r="BB42" i="1"/>
  <c r="BB46" i="1"/>
  <c r="BC46" i="1" s="1"/>
  <c r="BB72" i="1"/>
  <c r="BC72" i="1" s="1"/>
  <c r="BB40" i="1"/>
  <c r="BB45" i="1"/>
  <c r="BC45" i="1" s="1"/>
  <c r="BB41" i="1"/>
  <c r="BC41" i="1" s="1"/>
  <c r="BB47" i="1"/>
  <c r="BB48" i="1"/>
  <c r="BB43" i="1"/>
  <c r="BC43" i="1" s="1"/>
  <c r="BB51" i="1"/>
  <c r="BC51" i="1" s="1"/>
  <c r="BB49" i="1"/>
  <c r="BC49" i="1" s="1"/>
  <c r="BB52" i="1"/>
  <c r="BC52" i="1" s="1"/>
  <c r="BB50" i="1"/>
  <c r="BB80" i="1"/>
  <c r="BC80" i="1" s="1"/>
  <c r="BB53" i="1"/>
  <c r="BB57" i="1"/>
  <c r="BC57" i="1" s="1"/>
  <c r="BB54" i="1"/>
  <c r="BC54" i="1" s="1"/>
  <c r="BB55" i="1"/>
  <c r="BB56" i="1"/>
  <c r="BC56" i="1" s="1"/>
  <c r="BB62" i="1"/>
  <c r="BC62" i="1" s="1"/>
  <c r="BB69" i="1"/>
  <c r="BC69" i="1" s="1"/>
  <c r="BB64" i="1"/>
  <c r="BB60" i="1"/>
  <c r="BC60" i="1" s="1"/>
  <c r="BB59" i="1"/>
  <c r="BB82" i="1"/>
  <c r="BC82" i="1" s="1"/>
  <c r="BB58" i="1"/>
  <c r="BB84" i="1"/>
  <c r="BC84" i="1" s="1"/>
  <c r="BB61" i="1"/>
  <c r="BC61" i="1" s="1"/>
  <c r="BB63" i="1"/>
  <c r="BC63" i="1" s="1"/>
  <c r="BB83" i="1"/>
  <c r="BC83" i="1" s="1"/>
  <c r="BB75" i="1"/>
  <c r="BB76" i="1"/>
  <c r="BC76" i="1" s="1"/>
  <c r="BB65" i="1"/>
  <c r="BC65" i="1" s="1"/>
  <c r="BB77" i="1"/>
  <c r="BC77" i="1" s="1"/>
  <c r="BB86" i="1"/>
  <c r="BC86" i="1" s="1"/>
  <c r="BB79" i="1"/>
  <c r="BC79" i="1" s="1"/>
  <c r="BB78" i="1"/>
  <c r="BC78" i="1" s="1"/>
  <c r="BB68" i="1"/>
  <c r="BC68" i="1" s="1"/>
  <c r="BB87" i="1"/>
  <c r="BC87" i="1" s="1"/>
  <c r="BB66" i="1"/>
  <c r="BC66" i="1" s="1"/>
  <c r="BB71" i="1"/>
  <c r="BC71" i="1" s="1"/>
  <c r="BB67" i="1"/>
  <c r="BC67" i="1" s="1"/>
  <c r="BB89" i="1"/>
  <c r="BC89" i="1" s="1"/>
  <c r="BB88" i="1"/>
  <c r="BC88" i="1" s="1"/>
  <c r="BB93" i="1"/>
  <c r="BC93" i="1" s="1"/>
  <c r="BB81" i="1"/>
  <c r="BC81" i="1" s="1"/>
  <c r="BB90" i="1"/>
  <c r="BC90" i="1" s="1"/>
  <c r="BB91" i="1"/>
  <c r="BC91" i="1" s="1"/>
  <c r="BB85" i="1"/>
  <c r="BC85" i="1" s="1"/>
  <c r="BB92" i="1"/>
  <c r="BC92" i="1" s="1"/>
  <c r="BB74" i="1"/>
  <c r="BC74" i="1" s="1"/>
  <c r="BB94" i="1"/>
  <c r="BC94" i="1" s="1"/>
  <c r="BB95" i="1"/>
  <c r="BC95" i="1" s="1"/>
  <c r="BB96" i="1"/>
  <c r="BC96" i="1" s="1"/>
  <c r="BB97" i="1"/>
  <c r="BC97" i="1" s="1"/>
  <c r="AS7" i="1"/>
  <c r="AS8" i="1"/>
  <c r="AS11" i="1"/>
  <c r="AS10" i="1"/>
  <c r="AS15" i="1"/>
  <c r="AT15" i="1" s="1"/>
  <c r="AS16" i="1"/>
  <c r="AS19" i="1"/>
  <c r="AS9" i="1"/>
  <c r="AS13" i="1"/>
  <c r="AS17" i="1"/>
  <c r="AS14" i="1"/>
  <c r="AS12" i="1"/>
  <c r="AS20" i="1"/>
  <c r="AS18" i="1"/>
  <c r="AS21" i="1"/>
  <c r="AS22" i="1"/>
  <c r="AS27" i="1"/>
  <c r="AT27" i="1" s="1"/>
  <c r="AS25" i="1"/>
  <c r="AT25" i="1" s="1"/>
  <c r="AS24" i="1"/>
  <c r="AS26" i="1"/>
  <c r="AS28" i="1"/>
  <c r="AT28" i="1" s="1"/>
  <c r="AS23" i="1"/>
  <c r="AT23" i="1" s="1"/>
  <c r="AS31" i="1"/>
  <c r="AT31" i="1" s="1"/>
  <c r="AS29" i="1"/>
  <c r="AT29" i="1" s="1"/>
  <c r="AS30" i="1"/>
  <c r="AS32" i="1"/>
  <c r="AT32" i="1" s="1"/>
  <c r="AS35" i="1"/>
  <c r="AT35" i="1" s="1"/>
  <c r="AS34" i="1"/>
  <c r="AS36" i="1"/>
  <c r="AS33" i="1"/>
  <c r="AS37" i="1"/>
  <c r="AT37" i="1" s="1"/>
  <c r="AS38" i="1"/>
  <c r="AS73" i="1"/>
  <c r="AT73" i="1" s="1"/>
  <c r="AS39" i="1"/>
  <c r="AS70" i="1"/>
  <c r="AT70" i="1" s="1"/>
  <c r="AS44" i="1"/>
  <c r="AT44" i="1" s="1"/>
  <c r="AS42" i="1"/>
  <c r="AS46" i="1"/>
  <c r="AT46" i="1" s="1"/>
  <c r="AS72" i="1"/>
  <c r="AT72" i="1" s="1"/>
  <c r="AS40" i="1"/>
  <c r="AT40" i="1" s="1"/>
  <c r="AS45" i="1"/>
  <c r="AS41" i="1"/>
  <c r="AS47" i="1"/>
  <c r="AS48" i="1"/>
  <c r="AT48" i="1" s="1"/>
  <c r="AS43" i="1"/>
  <c r="AT43" i="1" s="1"/>
  <c r="AS51" i="1"/>
  <c r="AT51" i="1" s="1"/>
  <c r="AS49" i="1"/>
  <c r="AS52" i="1"/>
  <c r="AT52" i="1" s="1"/>
  <c r="AS50" i="1"/>
  <c r="AS80" i="1"/>
  <c r="AT80" i="1" s="1"/>
  <c r="AS53" i="1"/>
  <c r="AS57" i="1"/>
  <c r="AT57" i="1" s="1"/>
  <c r="AS54" i="1"/>
  <c r="AT54" i="1" s="1"/>
  <c r="AS55" i="1"/>
  <c r="AT55" i="1" s="1"/>
  <c r="AS56" i="1"/>
  <c r="AT56" i="1" s="1"/>
  <c r="AS62" i="1"/>
  <c r="AT62" i="1" s="1"/>
  <c r="AS69" i="1"/>
  <c r="AT69" i="1" s="1"/>
  <c r="AS64" i="1"/>
  <c r="AT64" i="1" s="1"/>
  <c r="AS60" i="1"/>
  <c r="AT60" i="1" s="1"/>
  <c r="AS59" i="1"/>
  <c r="AT59" i="1" s="1"/>
  <c r="AS82" i="1"/>
  <c r="AT82" i="1" s="1"/>
  <c r="AS58" i="1"/>
  <c r="AT58" i="1" s="1"/>
  <c r="AS84" i="1"/>
  <c r="AT84" i="1" s="1"/>
  <c r="AS61" i="1"/>
  <c r="AT61" i="1" s="1"/>
  <c r="AS63" i="1"/>
  <c r="AT63" i="1" s="1"/>
  <c r="AS83" i="1"/>
  <c r="AT83" i="1" s="1"/>
  <c r="AS75" i="1"/>
  <c r="AT75" i="1" s="1"/>
  <c r="AS76" i="1"/>
  <c r="AT76" i="1" s="1"/>
  <c r="AS65" i="1"/>
  <c r="AT65" i="1" s="1"/>
  <c r="AS77" i="1"/>
  <c r="AT77" i="1" s="1"/>
  <c r="AS86" i="1"/>
  <c r="AT86" i="1" s="1"/>
  <c r="AS79" i="1"/>
  <c r="AT79" i="1" s="1"/>
  <c r="AS78" i="1"/>
  <c r="AT78" i="1" s="1"/>
  <c r="AS68" i="1"/>
  <c r="AT68" i="1" s="1"/>
  <c r="AS87" i="1"/>
  <c r="AT87" i="1" s="1"/>
  <c r="AS66" i="1"/>
  <c r="AT66" i="1" s="1"/>
  <c r="AS71" i="1"/>
  <c r="AT71" i="1" s="1"/>
  <c r="AS67" i="1"/>
  <c r="AT67" i="1" s="1"/>
  <c r="AS89" i="1"/>
  <c r="AT89" i="1" s="1"/>
  <c r="AS88" i="1"/>
  <c r="AT88" i="1" s="1"/>
  <c r="AS93" i="1"/>
  <c r="AT93" i="1" s="1"/>
  <c r="AS81" i="1"/>
  <c r="AT81" i="1" s="1"/>
  <c r="AS90" i="1"/>
  <c r="AT90" i="1" s="1"/>
  <c r="AS91" i="1"/>
  <c r="AT91" i="1" s="1"/>
  <c r="AS85" i="1"/>
  <c r="AT85" i="1" s="1"/>
  <c r="AS92" i="1"/>
  <c r="AT92" i="1" s="1"/>
  <c r="AS74" i="1"/>
  <c r="AT74" i="1" s="1"/>
  <c r="AS94" i="1"/>
  <c r="AT94" i="1" s="1"/>
  <c r="AS95" i="1"/>
  <c r="AT95" i="1" s="1"/>
  <c r="AS96" i="1"/>
  <c r="AT96" i="1" s="1"/>
  <c r="AS97" i="1"/>
  <c r="AT97" i="1" s="1"/>
  <c r="AP7" i="1"/>
  <c r="AP8" i="1"/>
  <c r="AP11" i="1"/>
  <c r="AP10" i="1"/>
  <c r="AP15" i="1"/>
  <c r="AQ15" i="1" s="1"/>
  <c r="AP16" i="1"/>
  <c r="AP19" i="1"/>
  <c r="AQ19" i="1" s="1"/>
  <c r="AP9" i="1"/>
  <c r="AP13" i="1"/>
  <c r="AP17" i="1"/>
  <c r="AP14" i="1"/>
  <c r="AP12" i="1"/>
  <c r="AP20" i="1"/>
  <c r="AP18" i="1"/>
  <c r="AP21" i="1"/>
  <c r="AQ21" i="1" s="1"/>
  <c r="AP22" i="1"/>
  <c r="AQ22" i="1" s="1"/>
  <c r="AP27" i="1"/>
  <c r="AQ27" i="1" s="1"/>
  <c r="AP25" i="1"/>
  <c r="AQ25" i="1" s="1"/>
  <c r="AP24" i="1"/>
  <c r="AQ24" i="1" s="1"/>
  <c r="AP26" i="1"/>
  <c r="AQ26" i="1" s="1"/>
  <c r="AP28" i="1"/>
  <c r="AQ28" i="1" s="1"/>
  <c r="AP23" i="1"/>
  <c r="AP31" i="1"/>
  <c r="AQ31" i="1" s="1"/>
  <c r="AP29" i="1"/>
  <c r="AQ29" i="1" s="1"/>
  <c r="AP30" i="1"/>
  <c r="AQ30" i="1" s="1"/>
  <c r="AP32" i="1"/>
  <c r="AQ32" i="1" s="1"/>
  <c r="AP35" i="1"/>
  <c r="AQ35" i="1" s="1"/>
  <c r="AP34" i="1"/>
  <c r="AQ34" i="1" s="1"/>
  <c r="AP36" i="1"/>
  <c r="AQ36" i="1" s="1"/>
  <c r="AP33" i="1"/>
  <c r="AQ33" i="1" s="1"/>
  <c r="AP37" i="1"/>
  <c r="AQ37" i="1" s="1"/>
  <c r="AP38" i="1"/>
  <c r="AQ38" i="1" s="1"/>
  <c r="AP73" i="1"/>
  <c r="AQ73" i="1" s="1"/>
  <c r="AP39" i="1"/>
  <c r="AQ39" i="1" s="1"/>
  <c r="AP70" i="1"/>
  <c r="AQ70" i="1" s="1"/>
  <c r="AP44" i="1"/>
  <c r="AQ44" i="1" s="1"/>
  <c r="AP42" i="1"/>
  <c r="AQ42" i="1" s="1"/>
  <c r="AP46" i="1"/>
  <c r="AQ46" i="1" s="1"/>
  <c r="AP72" i="1"/>
  <c r="AQ72" i="1" s="1"/>
  <c r="AP40" i="1"/>
  <c r="AQ40" i="1" s="1"/>
  <c r="AP45" i="1"/>
  <c r="AQ45" i="1" s="1"/>
  <c r="AP41" i="1"/>
  <c r="AQ41" i="1" s="1"/>
  <c r="AP47" i="1"/>
  <c r="AQ47" i="1" s="1"/>
  <c r="AP48" i="1"/>
  <c r="AQ48" i="1" s="1"/>
  <c r="AP43" i="1"/>
  <c r="AQ43" i="1" s="1"/>
  <c r="AP51" i="1"/>
  <c r="AQ51" i="1" s="1"/>
  <c r="AP49" i="1"/>
  <c r="AQ49" i="1" s="1"/>
  <c r="AP52" i="1"/>
  <c r="AQ52" i="1" s="1"/>
  <c r="AP50" i="1"/>
  <c r="AQ50" i="1" s="1"/>
  <c r="AP80" i="1"/>
  <c r="AQ80" i="1" s="1"/>
  <c r="AP53" i="1"/>
  <c r="AQ53" i="1" s="1"/>
  <c r="AP57" i="1"/>
  <c r="AQ57" i="1" s="1"/>
  <c r="AP54" i="1"/>
  <c r="AQ54" i="1" s="1"/>
  <c r="AP55" i="1"/>
  <c r="AQ55" i="1" s="1"/>
  <c r="AP56" i="1"/>
  <c r="AQ56" i="1" s="1"/>
  <c r="AP62" i="1"/>
  <c r="AQ62" i="1" s="1"/>
  <c r="AP69" i="1"/>
  <c r="AQ69" i="1" s="1"/>
  <c r="AP64" i="1"/>
  <c r="AQ64" i="1" s="1"/>
  <c r="AP60" i="1"/>
  <c r="AQ60" i="1" s="1"/>
  <c r="AP59" i="1"/>
  <c r="AQ59" i="1" s="1"/>
  <c r="AP82" i="1"/>
  <c r="AQ82" i="1" s="1"/>
  <c r="AP58" i="1"/>
  <c r="AQ58" i="1" s="1"/>
  <c r="AP84" i="1"/>
  <c r="AQ84" i="1" s="1"/>
  <c r="AP61" i="1"/>
  <c r="AQ61" i="1" s="1"/>
  <c r="AP63" i="1"/>
  <c r="AQ63" i="1" s="1"/>
  <c r="AP83" i="1"/>
  <c r="AQ83" i="1" s="1"/>
  <c r="AP75" i="1"/>
  <c r="AQ75" i="1" s="1"/>
  <c r="AP76" i="1"/>
  <c r="AQ76" i="1" s="1"/>
  <c r="AP65" i="1"/>
  <c r="AQ65" i="1" s="1"/>
  <c r="AP77" i="1"/>
  <c r="AQ77" i="1" s="1"/>
  <c r="AP86" i="1"/>
  <c r="AQ86" i="1" s="1"/>
  <c r="AP79" i="1"/>
  <c r="AQ79" i="1" s="1"/>
  <c r="AP78" i="1"/>
  <c r="AQ78" i="1" s="1"/>
  <c r="AP68" i="1"/>
  <c r="AQ68" i="1" s="1"/>
  <c r="AP87" i="1"/>
  <c r="AQ87" i="1" s="1"/>
  <c r="AP66" i="1"/>
  <c r="AQ66" i="1" s="1"/>
  <c r="AP71" i="1"/>
  <c r="AQ71" i="1" s="1"/>
  <c r="AP67" i="1"/>
  <c r="AQ67" i="1" s="1"/>
  <c r="AP89" i="1"/>
  <c r="AQ89" i="1" s="1"/>
  <c r="AP88" i="1"/>
  <c r="AQ88" i="1" s="1"/>
  <c r="AP93" i="1"/>
  <c r="AQ93" i="1" s="1"/>
  <c r="AP81" i="1"/>
  <c r="AQ81" i="1" s="1"/>
  <c r="AP90" i="1"/>
  <c r="AQ90" i="1" s="1"/>
  <c r="AP91" i="1"/>
  <c r="AQ91" i="1" s="1"/>
  <c r="AP85" i="1"/>
  <c r="AQ85" i="1" s="1"/>
  <c r="AP92" i="1"/>
  <c r="AQ92" i="1" s="1"/>
  <c r="AP74" i="1"/>
  <c r="AQ74" i="1" s="1"/>
  <c r="AP94" i="1"/>
  <c r="AQ94" i="1" s="1"/>
  <c r="AP95" i="1"/>
  <c r="AQ95" i="1" s="1"/>
  <c r="AP96" i="1"/>
  <c r="AQ96" i="1" s="1"/>
  <c r="AP97" i="1"/>
  <c r="AQ97" i="1" s="1"/>
  <c r="BM57" i="1"/>
  <c r="BM59" i="1"/>
  <c r="BM84" i="1"/>
  <c r="BM61" i="1"/>
  <c r="BM63" i="1"/>
  <c r="BM75" i="1"/>
  <c r="BM65" i="1"/>
  <c r="BM77" i="1"/>
  <c r="BM86" i="1"/>
  <c r="BM78" i="1"/>
  <c r="BM68" i="1"/>
  <c r="BM87" i="1"/>
  <c r="BM66" i="1"/>
  <c r="BM91" i="1"/>
  <c r="BM85" i="1"/>
  <c r="BM92" i="1"/>
  <c r="BM94" i="1"/>
  <c r="BM95" i="1"/>
  <c r="BM96" i="1"/>
  <c r="BM97" i="1"/>
  <c r="BN7" i="1"/>
  <c r="BN8" i="1"/>
  <c r="BN11" i="1"/>
  <c r="BN10" i="1"/>
  <c r="BN15" i="1"/>
  <c r="BN16" i="1"/>
  <c r="BN19" i="1"/>
  <c r="BN9" i="1"/>
  <c r="BN13" i="1"/>
  <c r="BN17" i="1"/>
  <c r="BN14" i="1"/>
  <c r="BN12" i="1"/>
  <c r="BN20" i="1"/>
  <c r="BN18" i="1"/>
  <c r="BN21" i="1"/>
  <c r="BN22" i="1"/>
  <c r="BN27" i="1"/>
  <c r="BN25" i="1"/>
  <c r="BN24" i="1"/>
  <c r="BN26" i="1"/>
  <c r="BN28" i="1"/>
  <c r="BN23" i="1"/>
  <c r="BN31" i="1"/>
  <c r="BN29" i="1"/>
  <c r="BN30" i="1"/>
  <c r="BN32" i="1"/>
  <c r="BN35" i="1"/>
  <c r="BN34" i="1"/>
  <c r="BN36" i="1"/>
  <c r="BN33" i="1"/>
  <c r="BN37" i="1"/>
  <c r="BN38" i="1"/>
  <c r="BN73" i="1"/>
  <c r="BN39" i="1"/>
  <c r="BN70" i="1"/>
  <c r="BN44" i="1"/>
  <c r="BN42" i="1"/>
  <c r="BN46" i="1"/>
  <c r="BN72" i="1"/>
  <c r="BN40" i="1"/>
  <c r="BN45" i="1"/>
  <c r="BN41" i="1"/>
  <c r="BN47" i="1"/>
  <c r="BN48" i="1"/>
  <c r="BN43" i="1"/>
  <c r="BN51" i="1"/>
  <c r="BN49" i="1"/>
  <c r="BN52" i="1"/>
  <c r="BN50" i="1"/>
  <c r="BN80" i="1"/>
  <c r="BN53" i="1"/>
  <c r="BN57" i="1"/>
  <c r="BN54" i="1"/>
  <c r="BN55" i="1"/>
  <c r="BN56" i="1"/>
  <c r="BN62" i="1"/>
  <c r="BN69" i="1"/>
  <c r="BN64" i="1"/>
  <c r="BN60" i="1"/>
  <c r="BN59" i="1"/>
  <c r="BN82" i="1"/>
  <c r="BN58" i="1"/>
  <c r="BN84" i="1"/>
  <c r="BN61" i="1"/>
  <c r="BN63" i="1"/>
  <c r="BN83" i="1"/>
  <c r="BN75" i="1"/>
  <c r="BN76" i="1"/>
  <c r="BN65" i="1"/>
  <c r="BN77" i="1"/>
  <c r="BN86" i="1"/>
  <c r="BN79" i="1"/>
  <c r="BN78" i="1"/>
  <c r="BN68" i="1"/>
  <c r="BN87" i="1"/>
  <c r="BN66" i="1"/>
  <c r="BN71" i="1"/>
  <c r="BN67" i="1"/>
  <c r="BN89" i="1"/>
  <c r="BN88" i="1"/>
  <c r="BN93" i="1"/>
  <c r="BN81" i="1"/>
  <c r="BN90" i="1"/>
  <c r="BN91" i="1"/>
  <c r="BN85" i="1"/>
  <c r="BN92" i="1"/>
  <c r="BN74" i="1"/>
  <c r="BN94" i="1"/>
  <c r="BN95" i="1"/>
  <c r="BN96" i="1"/>
  <c r="BN97" i="1"/>
  <c r="D4" i="1"/>
  <c r="D5" i="1"/>
  <c r="D7" i="1"/>
  <c r="D8" i="1"/>
  <c r="D11" i="1"/>
  <c r="D10" i="1"/>
  <c r="D15" i="1"/>
  <c r="D16" i="1"/>
  <c r="D19" i="1"/>
  <c r="D9" i="1"/>
  <c r="D13" i="1"/>
  <c r="D17" i="1"/>
  <c r="D14" i="1"/>
  <c r="D12" i="1"/>
  <c r="D20" i="1"/>
  <c r="D18" i="1"/>
  <c r="D21" i="1"/>
  <c r="D22" i="1"/>
  <c r="D27" i="1"/>
  <c r="D25" i="1"/>
  <c r="D24" i="1"/>
  <c r="D26" i="1"/>
  <c r="D28" i="1"/>
  <c r="D23" i="1"/>
  <c r="D31" i="1"/>
  <c r="D29" i="1"/>
  <c r="D30" i="1"/>
  <c r="D32" i="1"/>
  <c r="D35" i="1"/>
  <c r="D34" i="1"/>
  <c r="D36" i="1"/>
  <c r="D33" i="1"/>
  <c r="D37" i="1"/>
  <c r="D38" i="1"/>
  <c r="D73" i="1"/>
  <c r="D39" i="1"/>
  <c r="D70" i="1"/>
  <c r="D44" i="1"/>
  <c r="D42" i="1"/>
  <c r="D46" i="1"/>
  <c r="D72" i="1"/>
  <c r="D40" i="1"/>
  <c r="D45" i="1"/>
  <c r="D41" i="1"/>
  <c r="D47" i="1"/>
  <c r="D48" i="1"/>
  <c r="D43" i="1"/>
  <c r="D51" i="1"/>
  <c r="D49" i="1"/>
  <c r="D52" i="1"/>
  <c r="D50" i="1"/>
  <c r="D80" i="1"/>
  <c r="D53" i="1"/>
  <c r="D57" i="1"/>
  <c r="D54" i="1"/>
  <c r="D55" i="1"/>
  <c r="D56" i="1"/>
  <c r="D62" i="1"/>
  <c r="D69" i="1"/>
  <c r="D64" i="1"/>
  <c r="D60" i="1"/>
  <c r="D59" i="1"/>
  <c r="D82" i="1"/>
  <c r="D58" i="1"/>
  <c r="D84" i="1"/>
  <c r="D61" i="1"/>
  <c r="D63" i="1"/>
  <c r="D83" i="1"/>
  <c r="D75" i="1"/>
  <c r="D76" i="1"/>
  <c r="D65" i="1"/>
  <c r="D77" i="1"/>
  <c r="D86" i="1"/>
  <c r="D79" i="1"/>
  <c r="D78" i="1"/>
  <c r="D68" i="1"/>
  <c r="D87" i="1"/>
  <c r="D66" i="1"/>
  <c r="D71" i="1"/>
  <c r="D67" i="1"/>
  <c r="D89" i="1"/>
  <c r="D88" i="1"/>
  <c r="D93" i="1"/>
  <c r="D81" i="1"/>
  <c r="D90" i="1"/>
  <c r="D91" i="1"/>
  <c r="D85" i="1"/>
  <c r="D92" i="1"/>
  <c r="D74" i="1"/>
  <c r="D94" i="1"/>
  <c r="D95" i="1"/>
  <c r="D96" i="1"/>
  <c r="D97" i="1"/>
  <c r="AG16" i="1"/>
  <c r="AG11" i="1"/>
  <c r="AG7" i="1"/>
  <c r="AG8" i="1"/>
  <c r="AG14" i="1"/>
  <c r="AG18" i="1"/>
  <c r="AG10" i="1"/>
  <c r="AG12" i="1"/>
  <c r="AG20" i="1"/>
  <c r="AG13" i="1"/>
  <c r="AG21" i="1"/>
  <c r="AG15" i="1"/>
  <c r="AG22" i="1"/>
  <c r="AH22" i="1" s="1"/>
  <c r="AG17" i="1"/>
  <c r="AG27" i="1"/>
  <c r="AH27" i="1" s="1"/>
  <c r="AG9" i="1"/>
  <c r="AH9" i="1" s="1"/>
  <c r="AG19" i="1"/>
  <c r="AG25" i="1"/>
  <c r="AG30" i="1"/>
  <c r="AH30" i="1" s="1"/>
  <c r="AG26" i="1"/>
  <c r="AH26" i="1" s="1"/>
  <c r="AG28" i="1"/>
  <c r="AG23" i="1"/>
  <c r="AG34" i="1"/>
  <c r="AH34" i="1" s="1"/>
  <c r="AG29" i="1"/>
  <c r="AH29" i="1" s="1"/>
  <c r="AG32" i="1"/>
  <c r="AH32" i="1" s="1"/>
  <c r="AG24" i="1"/>
  <c r="AH24" i="1" s="1"/>
  <c r="AG31" i="1"/>
  <c r="AG35" i="1"/>
  <c r="AG33" i="1"/>
  <c r="AH33" i="1" s="1"/>
  <c r="AG36" i="1"/>
  <c r="AH36" i="1" s="1"/>
  <c r="AG70" i="1"/>
  <c r="AH70" i="1" s="1"/>
  <c r="AG38" i="1"/>
  <c r="AH38" i="1" s="1"/>
  <c r="AG72" i="1"/>
  <c r="AH72" i="1" s="1"/>
  <c r="AG37" i="1"/>
  <c r="AG73" i="1"/>
  <c r="AH73" i="1" s="1"/>
  <c r="AG43" i="1"/>
  <c r="AH43" i="1" s="1"/>
  <c r="AG41" i="1"/>
  <c r="AH41" i="1" s="1"/>
  <c r="AG57" i="1"/>
  <c r="AH57" i="1" s="1"/>
  <c r="AG42" i="1"/>
  <c r="AH42" i="1" s="1"/>
  <c r="AG39" i="1"/>
  <c r="AG44" i="1"/>
  <c r="AH44" i="1" s="1"/>
  <c r="AG46" i="1"/>
  <c r="AH46" i="1" s="1"/>
  <c r="AG48" i="1"/>
  <c r="AH48" i="1" s="1"/>
  <c r="AG49" i="1"/>
  <c r="AH49" i="1" s="1"/>
  <c r="AG40" i="1"/>
  <c r="AH40" i="1" s="1"/>
  <c r="AG45" i="1"/>
  <c r="AH45" i="1" s="1"/>
  <c r="AG54" i="1"/>
  <c r="AH54" i="1" s="1"/>
  <c r="AG64" i="1"/>
  <c r="AH64" i="1" s="1"/>
  <c r="AG80" i="1"/>
  <c r="AH80" i="1" s="1"/>
  <c r="AG52" i="1"/>
  <c r="AH52" i="1" s="1"/>
  <c r="AG50" i="1"/>
  <c r="AH50" i="1" s="1"/>
  <c r="AG62" i="1"/>
  <c r="AH62" i="1" s="1"/>
  <c r="AG63" i="1"/>
  <c r="AH63" i="1" s="1"/>
  <c r="AG55" i="1"/>
  <c r="AH55" i="1" s="1"/>
  <c r="AG53" i="1"/>
  <c r="AH53" i="1" s="1"/>
  <c r="AG51" i="1"/>
  <c r="AG61" i="1"/>
  <c r="AH61" i="1" s="1"/>
  <c r="AG58" i="1"/>
  <c r="AH58" i="1" s="1"/>
  <c r="AG69" i="1"/>
  <c r="AH69" i="1" s="1"/>
  <c r="AG84" i="1"/>
  <c r="AH84" i="1" s="1"/>
  <c r="AG59" i="1"/>
  <c r="AH59" i="1" s="1"/>
  <c r="AG65" i="1"/>
  <c r="AH65" i="1" s="1"/>
  <c r="AG75" i="1"/>
  <c r="AH75" i="1" s="1"/>
  <c r="AG76" i="1"/>
  <c r="AH76" i="1" s="1"/>
  <c r="AG47" i="1"/>
  <c r="AH47" i="1" s="1"/>
  <c r="AG82" i="1"/>
  <c r="AH82" i="1" s="1"/>
  <c r="AG86" i="1"/>
  <c r="AH86" i="1" s="1"/>
  <c r="AG78" i="1"/>
  <c r="AH78" i="1" s="1"/>
  <c r="AG68" i="1"/>
  <c r="AH68" i="1" s="1"/>
  <c r="AG83" i="1"/>
  <c r="AH83" i="1" s="1"/>
  <c r="AG77" i="1"/>
  <c r="AH77" i="1" s="1"/>
  <c r="AG56" i="1"/>
  <c r="AH56" i="1" s="1"/>
  <c r="AG87" i="1"/>
  <c r="AH87" i="1" s="1"/>
  <c r="AG79" i="1"/>
  <c r="AH79" i="1" s="1"/>
  <c r="AG89" i="1"/>
  <c r="AH89" i="1" s="1"/>
  <c r="AG66" i="1"/>
  <c r="AH66" i="1" s="1"/>
  <c r="AG88" i="1"/>
  <c r="AH88" i="1" s="1"/>
  <c r="AG93" i="1"/>
  <c r="AH93" i="1" s="1"/>
  <c r="AG71" i="1"/>
  <c r="AH71" i="1" s="1"/>
  <c r="AG60" i="1"/>
  <c r="AH60" i="1" s="1"/>
  <c r="AG85" i="1"/>
  <c r="AH85" i="1" s="1"/>
  <c r="AG90" i="1"/>
  <c r="AH90" i="1" s="1"/>
  <c r="AG91" i="1"/>
  <c r="AH91" i="1" s="1"/>
  <c r="AG67" i="1"/>
  <c r="AH67" i="1" s="1"/>
  <c r="AG81" i="1"/>
  <c r="AH81" i="1" s="1"/>
  <c r="AG92" i="1"/>
  <c r="AH92" i="1" s="1"/>
  <c r="AG74" i="1"/>
  <c r="AH74" i="1" s="1"/>
  <c r="AG94" i="1"/>
  <c r="AH94" i="1" s="1"/>
  <c r="AG95" i="1"/>
  <c r="AH95" i="1" s="1"/>
  <c r="AG96" i="1"/>
  <c r="AH96" i="1" s="1"/>
  <c r="AG97" i="1"/>
  <c r="AH97" i="1" s="1"/>
  <c r="AJ16" i="1"/>
  <c r="AJ11" i="1"/>
  <c r="AJ7" i="1"/>
  <c r="AJ8" i="1"/>
  <c r="AJ14" i="1"/>
  <c r="AJ18" i="1"/>
  <c r="AJ10" i="1"/>
  <c r="AJ12" i="1"/>
  <c r="AJ20" i="1"/>
  <c r="AJ13" i="1"/>
  <c r="AJ21" i="1"/>
  <c r="AK21" i="1" s="1"/>
  <c r="AJ15" i="1"/>
  <c r="AJ22" i="1"/>
  <c r="AJ17" i="1"/>
  <c r="AK17" i="1" s="1"/>
  <c r="AJ27" i="1"/>
  <c r="AK27" i="1" s="1"/>
  <c r="AJ9" i="1"/>
  <c r="AK9" i="1" s="1"/>
  <c r="AJ19" i="1"/>
  <c r="AJ25" i="1"/>
  <c r="AJ30" i="1"/>
  <c r="AK30" i="1" s="1"/>
  <c r="AJ26" i="1"/>
  <c r="AJ28" i="1"/>
  <c r="AK28" i="1" s="1"/>
  <c r="AJ23" i="1"/>
  <c r="AJ34" i="1"/>
  <c r="AJ29" i="1"/>
  <c r="AJ32" i="1"/>
  <c r="AK32" i="1" s="1"/>
  <c r="AJ24" i="1"/>
  <c r="AJ31" i="1"/>
  <c r="AK31" i="1" s="1"/>
  <c r="AJ35" i="1"/>
  <c r="AK35" i="1" s="1"/>
  <c r="AJ33" i="1"/>
  <c r="AJ36" i="1"/>
  <c r="AK36" i="1" s="1"/>
  <c r="AJ70" i="1"/>
  <c r="AK70" i="1" s="1"/>
  <c r="AJ38" i="1"/>
  <c r="AK38" i="1" s="1"/>
  <c r="AJ72" i="1"/>
  <c r="AK72" i="1" s="1"/>
  <c r="AJ37" i="1"/>
  <c r="AK37" i="1" s="1"/>
  <c r="AJ73" i="1"/>
  <c r="AK73" i="1" s="1"/>
  <c r="AJ43" i="1"/>
  <c r="AK43" i="1" s="1"/>
  <c r="AJ41" i="1"/>
  <c r="AK41" i="1" s="1"/>
  <c r="AJ57" i="1"/>
  <c r="AK57" i="1" s="1"/>
  <c r="AJ42" i="1"/>
  <c r="AJ39" i="1"/>
  <c r="AK39" i="1" s="1"/>
  <c r="AJ44" i="1"/>
  <c r="AK44" i="1" s="1"/>
  <c r="AJ46" i="1"/>
  <c r="AJ48" i="1"/>
  <c r="AJ49" i="1"/>
  <c r="AK49" i="1" s="1"/>
  <c r="AJ40" i="1"/>
  <c r="AJ45" i="1"/>
  <c r="AK45" i="1" s="1"/>
  <c r="AJ54" i="1"/>
  <c r="AJ64" i="1"/>
  <c r="AJ80" i="1"/>
  <c r="AK80" i="1" s="1"/>
  <c r="AJ52" i="1"/>
  <c r="AJ50" i="1"/>
  <c r="AJ62" i="1"/>
  <c r="AK62" i="1" s="1"/>
  <c r="AJ63" i="1"/>
  <c r="AK63" i="1" s="1"/>
  <c r="AJ55" i="1"/>
  <c r="AJ53" i="1"/>
  <c r="AK53" i="1" s="1"/>
  <c r="AJ51" i="1"/>
  <c r="AK51" i="1" s="1"/>
  <c r="AJ61" i="1"/>
  <c r="AK61" i="1" s="1"/>
  <c r="AJ58" i="1"/>
  <c r="AJ69" i="1"/>
  <c r="AK69" i="1" s="1"/>
  <c r="AJ84" i="1"/>
  <c r="AJ59" i="1"/>
  <c r="AK59" i="1" s="1"/>
  <c r="AJ65" i="1"/>
  <c r="AK65" i="1" s="1"/>
  <c r="AJ75" i="1"/>
  <c r="AK75" i="1" s="1"/>
  <c r="AJ76" i="1"/>
  <c r="AK76" i="1" s="1"/>
  <c r="AJ47" i="1"/>
  <c r="AJ82" i="1"/>
  <c r="AJ86" i="1"/>
  <c r="AK86" i="1" s="1"/>
  <c r="AJ78" i="1"/>
  <c r="AK78" i="1" s="1"/>
  <c r="AJ68" i="1"/>
  <c r="AK68" i="1" s="1"/>
  <c r="AJ83" i="1"/>
  <c r="AK83" i="1" s="1"/>
  <c r="AJ77" i="1"/>
  <c r="AK77" i="1" s="1"/>
  <c r="AJ56" i="1"/>
  <c r="AJ87" i="1"/>
  <c r="AK87" i="1" s="1"/>
  <c r="AJ79" i="1"/>
  <c r="AK79" i="1" s="1"/>
  <c r="AJ89" i="1"/>
  <c r="AK89" i="1" s="1"/>
  <c r="AJ66" i="1"/>
  <c r="AK66" i="1" s="1"/>
  <c r="AJ88" i="1"/>
  <c r="AK88" i="1" s="1"/>
  <c r="AJ93" i="1"/>
  <c r="AK93" i="1" s="1"/>
  <c r="AJ71" i="1"/>
  <c r="AK71" i="1" s="1"/>
  <c r="AJ60" i="1"/>
  <c r="AJ85" i="1"/>
  <c r="AK85" i="1" s="1"/>
  <c r="AJ90" i="1"/>
  <c r="AK90" i="1" s="1"/>
  <c r="AJ91" i="1"/>
  <c r="AK91" i="1" s="1"/>
  <c r="AJ67" i="1"/>
  <c r="AK67" i="1" s="1"/>
  <c r="AJ81" i="1"/>
  <c r="AK81" i="1" s="1"/>
  <c r="AJ92" i="1"/>
  <c r="AK92" i="1" s="1"/>
  <c r="AJ74" i="1"/>
  <c r="AK74" i="1" s="1"/>
  <c r="AJ94" i="1"/>
  <c r="AK94" i="1" s="1"/>
  <c r="AJ95" i="1"/>
  <c r="AK95" i="1" s="1"/>
  <c r="AJ96" i="1"/>
  <c r="AK96" i="1" s="1"/>
  <c r="AJ97" i="1"/>
  <c r="AK97" i="1" s="1"/>
  <c r="AM16" i="1"/>
  <c r="AM11" i="1"/>
  <c r="AM7" i="1"/>
  <c r="AM8" i="1"/>
  <c r="AM14" i="1"/>
  <c r="AM18" i="1"/>
  <c r="AN18" i="1" s="1"/>
  <c r="AM10" i="1"/>
  <c r="AM12" i="1"/>
  <c r="AM20" i="1"/>
  <c r="AM13" i="1"/>
  <c r="AM21" i="1"/>
  <c r="AM15" i="1"/>
  <c r="AM22" i="1"/>
  <c r="AN22" i="1" s="1"/>
  <c r="AM17" i="1"/>
  <c r="AM27" i="1"/>
  <c r="AN27" i="1" s="1"/>
  <c r="AM9" i="1"/>
  <c r="AM19" i="1"/>
  <c r="AM25" i="1"/>
  <c r="AN25" i="1" s="1"/>
  <c r="AM30" i="1"/>
  <c r="AN30" i="1" s="1"/>
  <c r="AM26" i="1"/>
  <c r="AM28" i="1"/>
  <c r="AN28" i="1" s="1"/>
  <c r="AM23" i="1"/>
  <c r="AN23" i="1" s="1"/>
  <c r="AM34" i="1"/>
  <c r="AN34" i="1" s="1"/>
  <c r="AM29" i="1"/>
  <c r="AN29" i="1" s="1"/>
  <c r="AM32" i="1"/>
  <c r="AN32" i="1" s="1"/>
  <c r="AM24" i="1"/>
  <c r="AM31" i="1"/>
  <c r="AM35" i="1"/>
  <c r="AN35" i="1" s="1"/>
  <c r="AM33" i="1"/>
  <c r="AN33" i="1" s="1"/>
  <c r="AM36" i="1"/>
  <c r="AN36" i="1" s="1"/>
  <c r="AM70" i="1"/>
  <c r="AN70" i="1" s="1"/>
  <c r="AM38" i="1"/>
  <c r="AN38" i="1" s="1"/>
  <c r="AM72" i="1"/>
  <c r="AN72" i="1" s="1"/>
  <c r="AM37" i="1"/>
  <c r="AM73" i="1"/>
  <c r="AN73" i="1" s="1"/>
  <c r="AM43" i="1"/>
  <c r="AN43" i="1" s="1"/>
  <c r="AM41" i="1"/>
  <c r="AN41" i="1" s="1"/>
  <c r="AM57" i="1"/>
  <c r="AN57" i="1" s="1"/>
  <c r="AM42" i="1"/>
  <c r="AN42" i="1" s="1"/>
  <c r="AM39" i="1"/>
  <c r="AN39" i="1" s="1"/>
  <c r="AM44" i="1"/>
  <c r="AN44" i="1" s="1"/>
  <c r="AM46" i="1"/>
  <c r="AN46" i="1" s="1"/>
  <c r="AM48" i="1"/>
  <c r="AN48" i="1" s="1"/>
  <c r="AM49" i="1"/>
  <c r="AN49" i="1" s="1"/>
  <c r="AM40" i="1"/>
  <c r="AM45" i="1"/>
  <c r="AN45" i="1" s="1"/>
  <c r="AM54" i="1"/>
  <c r="AN54" i="1" s="1"/>
  <c r="AM64" i="1"/>
  <c r="AN64" i="1" s="1"/>
  <c r="AM80" i="1"/>
  <c r="AN80" i="1" s="1"/>
  <c r="AM52" i="1"/>
  <c r="AN52" i="1" s="1"/>
  <c r="AM50" i="1"/>
  <c r="AN50" i="1" s="1"/>
  <c r="AM62" i="1"/>
  <c r="AN62" i="1" s="1"/>
  <c r="AM63" i="1"/>
  <c r="AN63" i="1" s="1"/>
  <c r="AM55" i="1"/>
  <c r="AN55" i="1" s="1"/>
  <c r="AM53" i="1"/>
  <c r="AN53" i="1" s="1"/>
  <c r="AM51" i="1"/>
  <c r="AN51" i="1" s="1"/>
  <c r="AM61" i="1"/>
  <c r="AN61" i="1" s="1"/>
  <c r="AM58" i="1"/>
  <c r="AN58" i="1" s="1"/>
  <c r="AM69" i="1"/>
  <c r="AN69" i="1" s="1"/>
  <c r="AM84" i="1"/>
  <c r="AN84" i="1" s="1"/>
  <c r="AM59" i="1"/>
  <c r="AN59" i="1" s="1"/>
  <c r="AM65" i="1"/>
  <c r="AN65" i="1" s="1"/>
  <c r="AM75" i="1"/>
  <c r="AN75" i="1" s="1"/>
  <c r="AM76" i="1"/>
  <c r="AN76" i="1" s="1"/>
  <c r="AM47" i="1"/>
  <c r="AM82" i="1"/>
  <c r="AN82" i="1" s="1"/>
  <c r="AM86" i="1"/>
  <c r="AN86" i="1" s="1"/>
  <c r="AM78" i="1"/>
  <c r="AN78" i="1" s="1"/>
  <c r="AM68" i="1"/>
  <c r="AN68" i="1" s="1"/>
  <c r="AM83" i="1"/>
  <c r="AN83" i="1" s="1"/>
  <c r="AM77" i="1"/>
  <c r="AN77" i="1" s="1"/>
  <c r="AM56" i="1"/>
  <c r="AN56" i="1" s="1"/>
  <c r="AM87" i="1"/>
  <c r="AN87" i="1" s="1"/>
  <c r="AM79" i="1"/>
  <c r="AN79" i="1" s="1"/>
  <c r="AM89" i="1"/>
  <c r="AN89" i="1" s="1"/>
  <c r="AM66" i="1"/>
  <c r="AN66" i="1" s="1"/>
  <c r="AM88" i="1"/>
  <c r="AN88" i="1" s="1"/>
  <c r="AM93" i="1"/>
  <c r="AN93" i="1" s="1"/>
  <c r="AM71" i="1"/>
  <c r="AN71" i="1" s="1"/>
  <c r="AM60" i="1"/>
  <c r="AN60" i="1" s="1"/>
  <c r="AM85" i="1"/>
  <c r="AN85" i="1" s="1"/>
  <c r="AM90" i="1"/>
  <c r="AN90" i="1" s="1"/>
  <c r="AM91" i="1"/>
  <c r="AN91" i="1" s="1"/>
  <c r="AM67" i="1"/>
  <c r="AN67" i="1" s="1"/>
  <c r="AM81" i="1"/>
  <c r="AN81" i="1" s="1"/>
  <c r="AM92" i="1"/>
  <c r="AN92" i="1" s="1"/>
  <c r="AM74" i="1"/>
  <c r="AN74" i="1" s="1"/>
  <c r="AM94" i="1"/>
  <c r="AN94" i="1" s="1"/>
  <c r="AM95" i="1"/>
  <c r="AN95" i="1" s="1"/>
  <c r="AM96" i="1"/>
  <c r="AN96" i="1" s="1"/>
  <c r="AM97" i="1"/>
  <c r="AN97" i="1" s="1"/>
  <c r="BE16" i="1"/>
  <c r="BE11" i="1"/>
  <c r="BE7" i="1"/>
  <c r="BE8" i="1"/>
  <c r="BE14" i="1"/>
  <c r="BE18" i="1"/>
  <c r="BE10" i="1"/>
  <c r="BE12" i="1"/>
  <c r="BE20" i="1"/>
  <c r="BE13" i="1"/>
  <c r="BE21" i="1"/>
  <c r="BE15" i="1"/>
  <c r="BE22" i="1"/>
  <c r="BE17" i="1"/>
  <c r="BE27" i="1"/>
  <c r="BE9" i="1"/>
  <c r="BE19" i="1"/>
  <c r="BE25" i="1"/>
  <c r="BE30" i="1"/>
  <c r="BE26" i="1"/>
  <c r="BE28" i="1"/>
  <c r="BE23" i="1"/>
  <c r="BE34" i="1"/>
  <c r="BE29" i="1"/>
  <c r="BE32" i="1"/>
  <c r="BE24" i="1"/>
  <c r="BE31" i="1"/>
  <c r="BE35" i="1"/>
  <c r="BE33" i="1"/>
  <c r="BE36" i="1"/>
  <c r="BE70" i="1"/>
  <c r="BE38" i="1"/>
  <c r="BE72" i="1"/>
  <c r="BE37" i="1"/>
  <c r="BE73" i="1"/>
  <c r="BE43" i="1"/>
  <c r="BE41" i="1"/>
  <c r="BE57" i="1"/>
  <c r="BE42" i="1"/>
  <c r="BE39" i="1"/>
  <c r="BE44" i="1"/>
  <c r="BE46" i="1"/>
  <c r="BE48" i="1"/>
  <c r="BE49" i="1"/>
  <c r="BE40" i="1"/>
  <c r="BE45" i="1"/>
  <c r="BE54" i="1"/>
  <c r="BE64" i="1"/>
  <c r="BF64" i="1" s="1"/>
  <c r="BE80" i="1"/>
  <c r="BE52" i="1"/>
  <c r="BE50" i="1"/>
  <c r="BE62" i="1"/>
  <c r="BE63" i="1"/>
  <c r="BE55" i="1"/>
  <c r="BE53" i="1"/>
  <c r="BE51" i="1"/>
  <c r="BE61" i="1"/>
  <c r="BE58" i="1"/>
  <c r="BE69" i="1"/>
  <c r="BE84" i="1"/>
  <c r="BE59" i="1"/>
  <c r="BE65" i="1"/>
  <c r="BE75" i="1"/>
  <c r="BE76" i="1"/>
  <c r="BE47" i="1"/>
  <c r="BE82" i="1"/>
  <c r="BE86" i="1"/>
  <c r="BE78" i="1"/>
  <c r="BE68" i="1"/>
  <c r="BE83" i="1"/>
  <c r="BE77" i="1"/>
  <c r="BE56" i="1"/>
  <c r="BE87" i="1"/>
  <c r="BE79" i="1"/>
  <c r="BE89" i="1"/>
  <c r="BE66" i="1"/>
  <c r="BE88" i="1"/>
  <c r="BE93" i="1"/>
  <c r="BE71" i="1"/>
  <c r="BE60" i="1"/>
  <c r="BE85" i="1"/>
  <c r="BF85" i="1" s="1"/>
  <c r="BE90" i="1"/>
  <c r="BE91" i="1"/>
  <c r="BE67" i="1"/>
  <c r="BE81" i="1"/>
  <c r="BE92" i="1"/>
  <c r="BE74" i="1"/>
  <c r="BF74" i="1" s="1"/>
  <c r="BE94" i="1"/>
  <c r="BF94" i="1" s="1"/>
  <c r="BE95" i="1"/>
  <c r="BF95" i="1" s="1"/>
  <c r="BE96" i="1"/>
  <c r="BF96" i="1" s="1"/>
  <c r="BE97" i="1"/>
  <c r="BF97" i="1" s="1"/>
  <c r="W12" i="1"/>
  <c r="W18" i="1"/>
  <c r="W14" i="1"/>
  <c r="W20" i="1"/>
  <c r="W11" i="1"/>
  <c r="W7" i="1"/>
  <c r="W27" i="1"/>
  <c r="W10" i="1"/>
  <c r="W17" i="1"/>
  <c r="W13" i="1"/>
  <c r="W9" i="1"/>
  <c r="W15" i="1"/>
  <c r="W23" i="1"/>
  <c r="W19" i="1"/>
  <c r="W25" i="1"/>
  <c r="W30" i="1"/>
  <c r="W21" i="1"/>
  <c r="W32" i="1"/>
  <c r="W8" i="1"/>
  <c r="W26" i="1"/>
  <c r="W22" i="1"/>
  <c r="W36" i="1"/>
  <c r="W34" i="1"/>
  <c r="W28" i="1"/>
  <c r="W35" i="1"/>
  <c r="W24" i="1"/>
  <c r="W44" i="1"/>
  <c r="W70" i="1"/>
  <c r="W33" i="1"/>
  <c r="W31" i="1"/>
  <c r="W37" i="1"/>
  <c r="W43" i="1"/>
  <c r="W38" i="1"/>
  <c r="W41" i="1"/>
  <c r="W40" i="1"/>
  <c r="W42" i="1"/>
  <c r="W73" i="1"/>
  <c r="W57" i="1"/>
  <c r="W46" i="1"/>
  <c r="W49" i="1"/>
  <c r="W45" i="1"/>
  <c r="W72" i="1"/>
  <c r="W39" i="1"/>
  <c r="W48" i="1"/>
  <c r="W54" i="1"/>
  <c r="W52" i="1"/>
  <c r="W64" i="1"/>
  <c r="W51" i="1"/>
  <c r="W75" i="1"/>
  <c r="W50" i="1"/>
  <c r="W80" i="1"/>
  <c r="W62" i="1"/>
  <c r="W63" i="1"/>
  <c r="W55" i="1"/>
  <c r="W53" i="1"/>
  <c r="W84" i="1"/>
  <c r="W65" i="1"/>
  <c r="W86" i="1"/>
  <c r="W69" i="1"/>
  <c r="W68" i="1"/>
  <c r="W58" i="1"/>
  <c r="W59" i="1"/>
  <c r="W61" i="1"/>
  <c r="W47" i="1"/>
  <c r="W76" i="1"/>
  <c r="W82" i="1"/>
  <c r="W78" i="1"/>
  <c r="W77" i="1"/>
  <c r="W56" i="1"/>
  <c r="W79" i="1"/>
  <c r="W89" i="1"/>
  <c r="W83" i="1"/>
  <c r="W87" i="1"/>
  <c r="W66" i="1"/>
  <c r="W60" i="1"/>
  <c r="W71" i="1"/>
  <c r="W85" i="1"/>
  <c r="W90" i="1"/>
  <c r="W88" i="1"/>
  <c r="W91" i="1"/>
  <c r="W92" i="1"/>
  <c r="W81" i="1"/>
  <c r="W67" i="1"/>
  <c r="W95" i="1"/>
  <c r="W94" i="1"/>
  <c r="W96" i="1"/>
  <c r="W97" i="1"/>
  <c r="W29" i="1"/>
  <c r="W93" i="1"/>
  <c r="W74" i="1"/>
  <c r="W16" i="1"/>
  <c r="O12" i="1"/>
  <c r="O18" i="1"/>
  <c r="O14" i="1"/>
  <c r="O20" i="1"/>
  <c r="O11" i="1"/>
  <c r="O7" i="1"/>
  <c r="O27" i="1"/>
  <c r="O10" i="1"/>
  <c r="O17" i="1"/>
  <c r="O13" i="1"/>
  <c r="O9" i="1"/>
  <c r="O15" i="1"/>
  <c r="O23" i="1"/>
  <c r="O19" i="1"/>
  <c r="O25" i="1"/>
  <c r="O30" i="1"/>
  <c r="O21" i="1"/>
  <c r="O32" i="1"/>
  <c r="O8" i="1"/>
  <c r="O26" i="1"/>
  <c r="O22" i="1"/>
  <c r="O36" i="1"/>
  <c r="O34" i="1"/>
  <c r="O28" i="1"/>
  <c r="O35" i="1"/>
  <c r="O24" i="1"/>
  <c r="O44" i="1"/>
  <c r="O70" i="1"/>
  <c r="O33" i="1"/>
  <c r="O31" i="1"/>
  <c r="O37" i="1"/>
  <c r="O43" i="1"/>
  <c r="O38" i="1"/>
  <c r="O41" i="1"/>
  <c r="O40" i="1"/>
  <c r="O42" i="1"/>
  <c r="O73" i="1"/>
  <c r="O57" i="1"/>
  <c r="O46" i="1"/>
  <c r="O49" i="1"/>
  <c r="O45" i="1"/>
  <c r="O72" i="1"/>
  <c r="O39" i="1"/>
  <c r="O48" i="1"/>
  <c r="O54" i="1"/>
  <c r="O52" i="1"/>
  <c r="O64" i="1"/>
  <c r="O51" i="1"/>
  <c r="O75" i="1"/>
  <c r="O50" i="1"/>
  <c r="O80" i="1"/>
  <c r="O62" i="1"/>
  <c r="O63" i="1"/>
  <c r="O55" i="1"/>
  <c r="O53" i="1"/>
  <c r="O84" i="1"/>
  <c r="O65" i="1"/>
  <c r="O86" i="1"/>
  <c r="O69" i="1"/>
  <c r="O68" i="1"/>
  <c r="O58" i="1"/>
  <c r="O59" i="1"/>
  <c r="O61" i="1"/>
  <c r="O47" i="1"/>
  <c r="O76" i="1"/>
  <c r="O82" i="1"/>
  <c r="O78" i="1"/>
  <c r="O77" i="1"/>
  <c r="O56" i="1"/>
  <c r="O79" i="1"/>
  <c r="O89" i="1"/>
  <c r="O83" i="1"/>
  <c r="O87" i="1"/>
  <c r="O66" i="1"/>
  <c r="O60" i="1"/>
  <c r="O71" i="1"/>
  <c r="O85" i="1"/>
  <c r="O90" i="1"/>
  <c r="O88" i="1"/>
  <c r="O91" i="1"/>
  <c r="O92" i="1"/>
  <c r="O81" i="1"/>
  <c r="O67" i="1"/>
  <c r="O95" i="1"/>
  <c r="O94" i="1"/>
  <c r="O96" i="1"/>
  <c r="O97" i="1"/>
  <c r="O29" i="1"/>
  <c r="O93" i="1"/>
  <c r="O74" i="1"/>
  <c r="O16" i="1"/>
  <c r="G12" i="1"/>
  <c r="G18" i="1"/>
  <c r="G14" i="1"/>
  <c r="G20" i="1"/>
  <c r="G11" i="1"/>
  <c r="G7" i="1"/>
  <c r="G27" i="1"/>
  <c r="G10" i="1"/>
  <c r="G17" i="1"/>
  <c r="G13" i="1"/>
  <c r="G9" i="1"/>
  <c r="G15" i="1"/>
  <c r="G23" i="1"/>
  <c r="G19" i="1"/>
  <c r="G25" i="1"/>
  <c r="G30" i="1"/>
  <c r="G21" i="1"/>
  <c r="G32" i="1"/>
  <c r="G8" i="1"/>
  <c r="G26" i="1"/>
  <c r="G22" i="1"/>
  <c r="G36" i="1"/>
  <c r="G34" i="1"/>
  <c r="G28" i="1"/>
  <c r="G35" i="1"/>
  <c r="G24" i="1"/>
  <c r="G44" i="1"/>
  <c r="G70" i="1"/>
  <c r="G33" i="1"/>
  <c r="G31" i="1"/>
  <c r="G37" i="1"/>
  <c r="G43" i="1"/>
  <c r="G38" i="1"/>
  <c r="G41" i="1"/>
  <c r="G40" i="1"/>
  <c r="G42" i="1"/>
  <c r="G73" i="1"/>
  <c r="G57" i="1"/>
  <c r="G46" i="1"/>
  <c r="G49" i="1"/>
  <c r="G45" i="1"/>
  <c r="G72" i="1"/>
  <c r="G39" i="1"/>
  <c r="G48" i="1"/>
  <c r="G54" i="1"/>
  <c r="G52" i="1"/>
  <c r="G64" i="1"/>
  <c r="G51" i="1"/>
  <c r="G75" i="1"/>
  <c r="G50" i="1"/>
  <c r="G80" i="1"/>
  <c r="G62" i="1"/>
  <c r="G63" i="1"/>
  <c r="G55" i="1"/>
  <c r="G53" i="1"/>
  <c r="G84" i="1"/>
  <c r="G65" i="1"/>
  <c r="G86" i="1"/>
  <c r="G69" i="1"/>
  <c r="G68" i="1"/>
  <c r="G58" i="1"/>
  <c r="G59" i="1"/>
  <c r="G61" i="1"/>
  <c r="G47" i="1"/>
  <c r="G76" i="1"/>
  <c r="G82" i="1"/>
  <c r="G78" i="1"/>
  <c r="G77" i="1"/>
  <c r="G56" i="1"/>
  <c r="G79" i="1"/>
  <c r="G89" i="1"/>
  <c r="G83" i="1"/>
  <c r="G87" i="1"/>
  <c r="G66" i="1"/>
  <c r="G60" i="1"/>
  <c r="G71" i="1"/>
  <c r="G85" i="1"/>
  <c r="G90" i="1"/>
  <c r="G88" i="1"/>
  <c r="G91" i="1"/>
  <c r="G92" i="1"/>
  <c r="G81" i="1"/>
  <c r="G67" i="1"/>
  <c r="G95" i="1"/>
  <c r="G94" i="1"/>
  <c r="G96" i="1"/>
  <c r="G97" i="1"/>
  <c r="G29" i="1"/>
  <c r="G93" i="1"/>
  <c r="G74" i="1"/>
  <c r="G16" i="1"/>
  <c r="AE81" i="1" l="1"/>
  <c r="AE88" i="1"/>
  <c r="AE68" i="1"/>
  <c r="AE63" i="1"/>
  <c r="AE66" i="1"/>
  <c r="AE62" i="1"/>
  <c r="AE97" i="1"/>
  <c r="F97" i="1" s="1"/>
  <c r="AE91" i="1"/>
  <c r="AE90" i="1"/>
  <c r="AE95" i="1"/>
  <c r="F95" i="1" s="1"/>
  <c r="AE85" i="1"/>
  <c r="F85" i="1" s="1"/>
  <c r="AE87" i="1"/>
  <c r="AE61" i="1"/>
  <c r="AE80" i="1"/>
  <c r="AE44" i="1"/>
  <c r="AE72" i="1"/>
  <c r="AE76" i="1"/>
  <c r="AE57" i="1"/>
  <c r="AE67" i="1"/>
  <c r="AE78" i="1"/>
  <c r="AE43" i="1"/>
  <c r="AE89" i="1"/>
  <c r="AE69" i="1"/>
  <c r="AE86" i="1"/>
  <c r="AE96" i="1"/>
  <c r="F96" i="1" s="1"/>
  <c r="AE79" i="1"/>
  <c r="AE94" i="1"/>
  <c r="F94" i="1" s="1"/>
  <c r="AE32" i="1"/>
  <c r="AE74" i="1"/>
  <c r="AE71" i="1"/>
  <c r="AE77" i="1"/>
  <c r="AE92" i="1"/>
  <c r="AE93" i="1"/>
  <c r="AE83" i="1"/>
  <c r="AE65" i="1"/>
  <c r="AL5" i="1"/>
  <c r="AL6" i="1"/>
  <c r="BD6" i="1"/>
  <c r="BD5" i="1" s="1"/>
  <c r="AI5" i="1"/>
  <c r="AI6" i="1"/>
  <c r="AF6" i="1"/>
  <c r="AF5" i="1" s="1"/>
  <c r="AM6" i="1"/>
  <c r="AN31" i="1" s="1"/>
  <c r="BN6" i="1"/>
  <c r="BB5" i="1"/>
  <c r="BB6" i="1"/>
  <c r="BC59" i="1" s="1"/>
  <c r="AE59" i="1" s="1"/>
  <c r="W6" i="1"/>
  <c r="W5" i="1" s="1"/>
  <c r="AG6" i="1"/>
  <c r="AH18" i="1" s="1"/>
  <c r="AS6" i="1"/>
  <c r="AT14" i="1" s="1"/>
  <c r="AP6" i="1"/>
  <c r="AQ7" i="1" s="1"/>
  <c r="G6" i="1"/>
  <c r="G5" i="1" s="1"/>
  <c r="AJ6" i="1"/>
  <c r="AK7" i="1" s="1"/>
  <c r="BE6" i="1"/>
  <c r="BL6" i="1"/>
  <c r="K6" i="1"/>
  <c r="K5" i="1" s="1"/>
  <c r="T6" i="1"/>
  <c r="T5" i="1" s="1"/>
  <c r="T4" i="1" s="1"/>
  <c r="J6" i="1"/>
  <c r="J5" i="1" s="1"/>
  <c r="S6" i="1"/>
  <c r="I6" i="1"/>
  <c r="I5" i="1" s="1"/>
  <c r="P6" i="1"/>
  <c r="P5" i="1" s="1"/>
  <c r="O6" i="1"/>
  <c r="O5" i="1" s="1"/>
  <c r="R6" i="1"/>
  <c r="R5" i="1" s="1"/>
  <c r="H6" i="1"/>
  <c r="H5" i="1" s="1"/>
  <c r="Q6" i="1"/>
  <c r="Q5" i="1" s="1"/>
  <c r="L6" i="1"/>
  <c r="L5" i="1" s="1"/>
  <c r="BM40" i="1" l="1"/>
  <c r="BF52" i="1"/>
  <c r="BL5" i="1"/>
  <c r="AQ11" i="1"/>
  <c r="AQ18" i="1"/>
  <c r="BC11" i="1"/>
  <c r="BM25" i="1"/>
  <c r="BM90" i="1"/>
  <c r="BM36" i="1"/>
  <c r="BF77" i="1"/>
  <c r="F77" i="1" s="1"/>
  <c r="AQ16" i="1"/>
  <c r="AT33" i="1"/>
  <c r="AH15" i="1"/>
  <c r="AM5" i="1"/>
  <c r="AM4" i="1" s="1"/>
  <c r="BC19" i="1"/>
  <c r="AN11" i="1"/>
  <c r="BM46" i="1"/>
  <c r="AH12" i="1"/>
  <c r="BC58" i="1"/>
  <c r="BF37" i="1"/>
  <c r="AK46" i="1"/>
  <c r="AE46" i="1" s="1"/>
  <c r="AQ12" i="1"/>
  <c r="AK18" i="1"/>
  <c r="BC25" i="1"/>
  <c r="AN7" i="1"/>
  <c r="AK26" i="1"/>
  <c r="BM93" i="1"/>
  <c r="BM53" i="1"/>
  <c r="BF93" i="1"/>
  <c r="BM20" i="1"/>
  <c r="AK64" i="1"/>
  <c r="AN24" i="1"/>
  <c r="I4" i="1"/>
  <c r="BE5" i="1"/>
  <c r="BE4" i="1" s="1"/>
  <c r="W4" i="1"/>
  <c r="S5" i="1"/>
  <c r="S4" i="1" s="1"/>
  <c r="AS5" i="1"/>
  <c r="AS4" i="1" s="1"/>
  <c r="J4" i="1"/>
  <c r="BD4" i="1"/>
  <c r="AP5" i="1"/>
  <c r="AP4" i="1" s="1"/>
  <c r="L4" i="1"/>
  <c r="Q4" i="1"/>
  <c r="P4" i="1"/>
  <c r="AG5" i="1"/>
  <c r="AJ5" i="1"/>
  <c r="AJ4" i="1" s="1"/>
  <c r="AT17" i="1"/>
  <c r="BF29" i="1"/>
  <c r="AK58" i="1"/>
  <c r="BM73" i="1"/>
  <c r="BM41" i="1"/>
  <c r="BM47" i="1"/>
  <c r="AH17" i="1"/>
  <c r="AK11" i="1"/>
  <c r="BC73" i="1"/>
  <c r="AE73" i="1" s="1"/>
  <c r="BC20" i="1"/>
  <c r="AN13" i="1"/>
  <c r="AF4" i="1"/>
  <c r="BF20" i="1"/>
  <c r="BF39" i="1"/>
  <c r="BF67" i="1"/>
  <c r="AK47" i="1"/>
  <c r="BM67" i="1"/>
  <c r="BM37" i="1"/>
  <c r="BM74" i="1"/>
  <c r="F74" i="1" s="1"/>
  <c r="BM39" i="1"/>
  <c r="BM56" i="1"/>
  <c r="AT24" i="1"/>
  <c r="AT39" i="1"/>
  <c r="AK13" i="1"/>
  <c r="BC29" i="1"/>
  <c r="BC8" i="1"/>
  <c r="AN16" i="1"/>
  <c r="BF36" i="1"/>
  <c r="BF30" i="1"/>
  <c r="AK52" i="1"/>
  <c r="AE52" i="1" s="1"/>
  <c r="AT7" i="1"/>
  <c r="H4" i="1"/>
  <c r="R4" i="1"/>
  <c r="BM28" i="1"/>
  <c r="BM72" i="1"/>
  <c r="BM11" i="1"/>
  <c r="AK82" i="1"/>
  <c r="AE82" i="1" s="1"/>
  <c r="BM64" i="1"/>
  <c r="AQ14" i="1"/>
  <c r="AT38" i="1"/>
  <c r="AE38" i="1" s="1"/>
  <c r="AT26" i="1"/>
  <c r="AK15" i="1"/>
  <c r="BC47" i="1"/>
  <c r="AI4" i="1"/>
  <c r="BF81" i="1"/>
  <c r="BF28" i="1"/>
  <c r="AT53" i="1"/>
  <c r="AH35" i="1"/>
  <c r="BM80" i="1"/>
  <c r="BM81" i="1"/>
  <c r="BM43" i="1"/>
  <c r="BM89" i="1"/>
  <c r="AT22" i="1"/>
  <c r="AT12" i="1"/>
  <c r="BF16" i="1"/>
  <c r="BF33" i="1"/>
  <c r="AH10" i="1"/>
  <c r="O4" i="1"/>
  <c r="K4" i="1"/>
  <c r="BM88" i="1"/>
  <c r="BM79" i="1"/>
  <c r="BM38" i="1"/>
  <c r="BF89" i="1"/>
  <c r="BM12" i="1"/>
  <c r="AT20" i="1"/>
  <c r="BC40" i="1"/>
  <c r="AH37" i="1"/>
  <c r="BF90" i="1"/>
  <c r="BF24" i="1"/>
  <c r="AK50" i="1"/>
  <c r="BM23" i="1"/>
  <c r="BM35" i="1"/>
  <c r="BM8" i="1"/>
  <c r="BM42" i="1"/>
  <c r="G4" i="1"/>
  <c r="AT36" i="1"/>
  <c r="AE36" i="1" s="1"/>
  <c r="BC21" i="1"/>
  <c r="AN40" i="1"/>
  <c r="AH51" i="1"/>
  <c r="AE51" i="1" s="1"/>
  <c r="AL4" i="1"/>
  <c r="BF19" i="1"/>
  <c r="BF58" i="1"/>
  <c r="AK29" i="1"/>
  <c r="BM24" i="1"/>
  <c r="BM54" i="1"/>
  <c r="BM70" i="1"/>
  <c r="BM17" i="1"/>
  <c r="BM45" i="1"/>
  <c r="BM51" i="1"/>
  <c r="AK55" i="1"/>
  <c r="BM22" i="1"/>
  <c r="BF32" i="1"/>
  <c r="BM60" i="1"/>
  <c r="AQ9" i="1"/>
  <c r="AQ23" i="1"/>
  <c r="AT11" i="1"/>
  <c r="AH8" i="1"/>
  <c r="AT50" i="1"/>
  <c r="AT16" i="1"/>
  <c r="AK14" i="1"/>
  <c r="BC42" i="1"/>
  <c r="BC14" i="1"/>
  <c r="BC50" i="1"/>
  <c r="BC37" i="1"/>
  <c r="BC15" i="1"/>
  <c r="AN10" i="1"/>
  <c r="AN47" i="1"/>
  <c r="BF53" i="1"/>
  <c r="BF75" i="1"/>
  <c r="BF45" i="1"/>
  <c r="BF66" i="1"/>
  <c r="F66" i="1" s="1"/>
  <c r="BF25" i="1"/>
  <c r="BF13" i="1"/>
  <c r="BF34" i="1"/>
  <c r="BF54" i="1"/>
  <c r="BF9" i="1"/>
  <c r="BF55" i="1"/>
  <c r="BF50" i="1"/>
  <c r="AK34" i="1"/>
  <c r="AH16" i="1"/>
  <c r="AH20" i="1"/>
  <c r="BM7" i="1"/>
  <c r="BM19" i="1"/>
  <c r="BM62" i="1"/>
  <c r="BM31" i="1"/>
  <c r="BM83" i="1"/>
  <c r="BM26" i="1"/>
  <c r="BM71" i="1"/>
  <c r="BM30" i="1"/>
  <c r="BM44" i="1"/>
  <c r="BM33" i="1"/>
  <c r="AQ20" i="1"/>
  <c r="AQ10" i="1"/>
  <c r="AT45" i="1"/>
  <c r="AE45" i="1" s="1"/>
  <c r="AT47" i="1"/>
  <c r="AK20" i="1"/>
  <c r="BC16" i="1"/>
  <c r="BC13" i="1"/>
  <c r="BB4" i="1"/>
  <c r="BC24" i="1"/>
  <c r="BC53" i="1"/>
  <c r="AE53" i="1" s="1"/>
  <c r="AN20" i="1"/>
  <c r="AN37" i="1"/>
  <c r="AN26" i="1"/>
  <c r="AH28" i="1"/>
  <c r="AE28" i="1" s="1"/>
  <c r="BF78" i="1"/>
  <c r="F78" i="1" s="1"/>
  <c r="BF68" i="1"/>
  <c r="F68" i="1" s="1"/>
  <c r="BF62" i="1"/>
  <c r="BF59" i="1"/>
  <c r="F59" i="1" s="1"/>
  <c r="BF73" i="1"/>
  <c r="BF23" i="1"/>
  <c r="BF12" i="1"/>
  <c r="AK54" i="1"/>
  <c r="AE54" i="1" s="1"/>
  <c r="BF14" i="1"/>
  <c r="BF40" i="1"/>
  <c r="BF44" i="1"/>
  <c r="BF83" i="1"/>
  <c r="BF86" i="1"/>
  <c r="F86" i="1" s="1"/>
  <c r="BF69" i="1"/>
  <c r="AT30" i="1"/>
  <c r="AE30" i="1" s="1"/>
  <c r="AK40" i="1"/>
  <c r="BM16" i="1"/>
  <c r="BM69" i="1"/>
  <c r="BM18" i="1"/>
  <c r="BM21" i="1"/>
  <c r="BF71" i="1"/>
  <c r="BM58" i="1"/>
  <c r="BM10" i="1"/>
  <c r="AQ17" i="1"/>
  <c r="AT34" i="1"/>
  <c r="AT18" i="1"/>
  <c r="AH11" i="1"/>
  <c r="AT19" i="1"/>
  <c r="AT42" i="1"/>
  <c r="AT9" i="1"/>
  <c r="AK23" i="1"/>
  <c r="BC48" i="1"/>
  <c r="BC31" i="1"/>
  <c r="BC34" i="1"/>
  <c r="BC23" i="1"/>
  <c r="AN19" i="1"/>
  <c r="AN17" i="1"/>
  <c r="AN21" i="1"/>
  <c r="BF10" i="1"/>
  <c r="BF76" i="1"/>
  <c r="BF27" i="1"/>
  <c r="BF51" i="1"/>
  <c r="BF70" i="1"/>
  <c r="BF48" i="1"/>
  <c r="BF26" i="1"/>
  <c r="BF56" i="1"/>
  <c r="BF88" i="1"/>
  <c r="BF72" i="1"/>
  <c r="BF43" i="1"/>
  <c r="AH39" i="1"/>
  <c r="AN9" i="1"/>
  <c r="AT21" i="1"/>
  <c r="AK12" i="1"/>
  <c r="AK19" i="1"/>
  <c r="BC18" i="1"/>
  <c r="BC70" i="1"/>
  <c r="AE70" i="1" s="1"/>
  <c r="BC26" i="1"/>
  <c r="AN8" i="1"/>
  <c r="AH25" i="1"/>
  <c r="BF82" i="1"/>
  <c r="BF18" i="1"/>
  <c r="BF22" i="1"/>
  <c r="BF38" i="1"/>
  <c r="BF91" i="1"/>
  <c r="F91" i="1" s="1"/>
  <c r="BF17" i="1"/>
  <c r="BF61" i="1"/>
  <c r="F61" i="1" s="1"/>
  <c r="BF79" i="1"/>
  <c r="BF60" i="1"/>
  <c r="BF8" i="1"/>
  <c r="BF47" i="1"/>
  <c r="AK56" i="1"/>
  <c r="AE56" i="1" s="1"/>
  <c r="BC7" i="1"/>
  <c r="BF7" i="1"/>
  <c r="AH21" i="1"/>
  <c r="AK33" i="1"/>
  <c r="AE33" i="1" s="1"/>
  <c r="BM15" i="1"/>
  <c r="BM50" i="1"/>
  <c r="BM48" i="1"/>
  <c r="BM55" i="1"/>
  <c r="BM29" i="1"/>
  <c r="BM34" i="1"/>
  <c r="AQ8" i="1"/>
  <c r="AK22" i="1"/>
  <c r="AT8" i="1"/>
  <c r="AT49" i="1"/>
  <c r="AE49" i="1" s="1"/>
  <c r="AK25" i="1"/>
  <c r="AK16" i="1"/>
  <c r="BC35" i="1"/>
  <c r="BC39" i="1"/>
  <c r="BC75" i="1"/>
  <c r="AE75" i="1" s="1"/>
  <c r="BC27" i="1"/>
  <c r="AE27" i="1" s="1"/>
  <c r="BC10" i="1"/>
  <c r="AN12" i="1"/>
  <c r="AN15" i="1"/>
  <c r="AH31" i="1"/>
  <c r="BF35" i="1"/>
  <c r="BF15" i="1"/>
  <c r="BF87" i="1"/>
  <c r="F87" i="1" s="1"/>
  <c r="BF41" i="1"/>
  <c r="BF63" i="1"/>
  <c r="F63" i="1" s="1"/>
  <c r="AK60" i="1"/>
  <c r="AE60" i="1" s="1"/>
  <c r="BF42" i="1"/>
  <c r="BF84" i="1"/>
  <c r="BF92" i="1"/>
  <c r="F92" i="1" s="1"/>
  <c r="BF80" i="1"/>
  <c r="AK48" i="1"/>
  <c r="AK24" i="1"/>
  <c r="AH13" i="1"/>
  <c r="BM49" i="1"/>
  <c r="BM13" i="1"/>
  <c r="BL4" i="1"/>
  <c r="BM14" i="1"/>
  <c r="BM76" i="1"/>
  <c r="BM27" i="1"/>
  <c r="BM9" i="1"/>
  <c r="BM82" i="1"/>
  <c r="BM52" i="1"/>
  <c r="BM32" i="1"/>
  <c r="AQ13" i="1"/>
  <c r="AT13" i="1"/>
  <c r="AT41" i="1"/>
  <c r="AE41" i="1" s="1"/>
  <c r="AT10" i="1"/>
  <c r="AH19" i="1"/>
  <c r="AK42" i="1"/>
  <c r="AK10" i="1"/>
  <c r="AK8" i="1"/>
  <c r="BC55" i="1"/>
  <c r="BC17" i="1"/>
  <c r="BC12" i="1"/>
  <c r="BC64" i="1"/>
  <c r="BC9" i="1"/>
  <c r="AN14" i="1"/>
  <c r="AG4" i="1"/>
  <c r="BF11" i="1"/>
  <c r="BF57" i="1"/>
  <c r="F57" i="1" s="1"/>
  <c r="BF21" i="1"/>
  <c r="BF65" i="1"/>
  <c r="F65" i="1" s="1"/>
  <c r="BF49" i="1"/>
  <c r="BF31" i="1"/>
  <c r="BF46" i="1"/>
  <c r="AK84" i="1"/>
  <c r="AE84" i="1" s="1"/>
  <c r="AH7" i="1"/>
  <c r="AH23" i="1"/>
  <c r="AH14" i="1"/>
  <c r="AE64" i="1" l="1"/>
  <c r="AE58" i="1"/>
  <c r="AE15" i="1"/>
  <c r="F15" i="1" s="1"/>
  <c r="F90" i="1"/>
  <c r="AE29" i="1"/>
  <c r="F29" i="1" s="1"/>
  <c r="F80" i="1"/>
  <c r="F58" i="1"/>
  <c r="AE31" i="1"/>
  <c r="F31" i="1" s="1"/>
  <c r="AE18" i="1"/>
  <c r="F18" i="1" s="1"/>
  <c r="F88" i="1"/>
  <c r="F67" i="1"/>
  <c r="F46" i="1"/>
  <c r="AE47" i="1"/>
  <c r="F47" i="1" s="1"/>
  <c r="F36" i="1"/>
  <c r="F93" i="1"/>
  <c r="F81" i="1"/>
  <c r="AE40" i="1"/>
  <c r="F40" i="1" s="1"/>
  <c r="AE37" i="1"/>
  <c r="F37" i="1" s="1"/>
  <c r="AE23" i="1"/>
  <c r="F23" i="1" s="1"/>
  <c r="AE50" i="1"/>
  <c r="F50" i="1" s="1"/>
  <c r="F69" i="1"/>
  <c r="F53" i="1"/>
  <c r="F73" i="1"/>
  <c r="AE35" i="1"/>
  <c r="F35" i="1" s="1"/>
  <c r="F56" i="1"/>
  <c r="F38" i="1"/>
  <c r="F30" i="1"/>
  <c r="AE42" i="1"/>
  <c r="F42" i="1" s="1"/>
  <c r="AE22" i="1"/>
  <c r="F22" i="1" s="1"/>
  <c r="F79" i="1"/>
  <c r="F75" i="1"/>
  <c r="F51" i="1"/>
  <c r="F54" i="1"/>
  <c r="F28" i="1"/>
  <c r="F84" i="1"/>
  <c r="AE10" i="1"/>
  <c r="F10" i="1" s="1"/>
  <c r="F52" i="1"/>
  <c r="F60" i="1"/>
  <c r="AE12" i="1"/>
  <c r="F12" i="1" s="1"/>
  <c r="AE26" i="1"/>
  <c r="F26" i="1" s="1"/>
  <c r="AE19" i="1"/>
  <c r="F19" i="1" s="1"/>
  <c r="AE24" i="1"/>
  <c r="F24" i="1" s="1"/>
  <c r="F27" i="1"/>
  <c r="F33" i="1"/>
  <c r="AE25" i="1"/>
  <c r="F25" i="1" s="1"/>
  <c r="F71" i="1"/>
  <c r="AE17" i="1"/>
  <c r="F17" i="1" s="1"/>
  <c r="F64" i="1"/>
  <c r="AE21" i="1"/>
  <c r="F21" i="1" s="1"/>
  <c r="AE39" i="1"/>
  <c r="F39" i="1" s="1"/>
  <c r="F45" i="1"/>
  <c r="F43" i="1"/>
  <c r="AE11" i="1"/>
  <c r="F11" i="1" s="1"/>
  <c r="F82" i="1"/>
  <c r="AE48" i="1"/>
  <c r="F48" i="1" s="1"/>
  <c r="F72" i="1"/>
  <c r="F89" i="1"/>
  <c r="F49" i="1"/>
  <c r="F32" i="1"/>
  <c r="AN6" i="1"/>
  <c r="AN5" i="1" s="1"/>
  <c r="AT6" i="1"/>
  <c r="AE13" i="1"/>
  <c r="F13" i="1" s="1"/>
  <c r="AE9" i="1"/>
  <c r="F9" i="1" s="1"/>
  <c r="BM6" i="1"/>
  <c r="BM5" i="1" s="1"/>
  <c r="AE55" i="1"/>
  <c r="F55" i="1" s="1"/>
  <c r="AK6" i="1"/>
  <c r="AE20" i="1"/>
  <c r="F20" i="1" s="1"/>
  <c r="AE8" i="1"/>
  <c r="F8" i="1" s="1"/>
  <c r="F41" i="1"/>
  <c r="BF6" i="1"/>
  <c r="BF5" i="1"/>
  <c r="AE16" i="1"/>
  <c r="F16" i="1" s="1"/>
  <c r="AE14" i="1"/>
  <c r="F14" i="1" s="1"/>
  <c r="BC6" i="1"/>
  <c r="BC5" i="1" s="1"/>
  <c r="F70" i="1"/>
  <c r="F76" i="1"/>
  <c r="F83" i="1"/>
  <c r="AE34" i="1"/>
  <c r="F34" i="1" s="1"/>
  <c r="AQ6" i="1"/>
  <c r="AQ5" i="1" s="1"/>
  <c r="AE7" i="1"/>
  <c r="AH6" i="1"/>
  <c r="F44" i="1"/>
  <c r="F62" i="1"/>
  <c r="AK5" i="1" l="1"/>
  <c r="AK4" i="1" s="1"/>
  <c r="AT5" i="1"/>
  <c r="AT4" i="1" s="1"/>
  <c r="AH5" i="1"/>
  <c r="AH4" i="1" s="1"/>
  <c r="BM4" i="1"/>
  <c r="AN4" i="1"/>
  <c r="AQ4" i="1"/>
  <c r="BF4" i="1"/>
  <c r="AE6" i="1"/>
  <c r="AE5" i="1"/>
  <c r="F7" i="1"/>
  <c r="F6" i="1" s="1"/>
  <c r="BC4" i="1"/>
  <c r="F5" i="1" l="1"/>
  <c r="F4" i="1" s="1"/>
  <c r="AE4" i="1"/>
</calcChain>
</file>

<file path=xl/sharedStrings.xml><?xml version="1.0" encoding="utf-8"?>
<sst xmlns="http://schemas.openxmlformats.org/spreadsheetml/2006/main" count="416" uniqueCount="189">
  <si>
    <t>S2 Alliance Points</t>
    <phoneticPr fontId="2" type="noConversion"/>
  </si>
  <si>
    <t>Rank</t>
    <phoneticPr fontId="2" type="noConversion"/>
  </si>
  <si>
    <t>ID</t>
    <phoneticPr fontId="2" type="noConversion"/>
  </si>
  <si>
    <t>Total</t>
    <phoneticPr fontId="2" type="noConversion"/>
  </si>
  <si>
    <t xml:space="preserve">VS 1 </t>
    <phoneticPr fontId="2" type="noConversion"/>
  </si>
  <si>
    <t>VS 2</t>
    <phoneticPr fontId="2" type="noConversion"/>
  </si>
  <si>
    <t>VS 3</t>
    <phoneticPr fontId="2" type="noConversion"/>
  </si>
  <si>
    <t>Don. 1</t>
    <phoneticPr fontId="2" type="noConversion"/>
  </si>
  <si>
    <t>Don. 2</t>
    <phoneticPr fontId="2" type="noConversion"/>
  </si>
  <si>
    <t>Don. 3</t>
    <phoneticPr fontId="2" type="noConversion"/>
  </si>
  <si>
    <t>DS 1</t>
    <phoneticPr fontId="2" type="noConversion"/>
  </si>
  <si>
    <t>DS 2</t>
    <phoneticPr fontId="2" type="noConversion"/>
  </si>
  <si>
    <t>DS 3</t>
    <phoneticPr fontId="2" type="noConversion"/>
  </si>
  <si>
    <t>DS 4</t>
    <phoneticPr fontId="2" type="noConversion"/>
  </si>
  <si>
    <t>指挥官29b561615</t>
    <phoneticPr fontId="2" type="noConversion"/>
  </si>
  <si>
    <t>A20</t>
    <phoneticPr fontId="2" type="noConversion"/>
  </si>
  <si>
    <t>吳董欸</t>
    <phoneticPr fontId="2" type="noConversion"/>
  </si>
  <si>
    <t>B20</t>
    <phoneticPr fontId="2" type="noConversion"/>
  </si>
  <si>
    <t>MMYA</t>
    <phoneticPr fontId="2" type="noConversion"/>
  </si>
  <si>
    <t>極速快閃王者</t>
    <phoneticPr fontId="2" type="noConversion"/>
  </si>
  <si>
    <t>maxdeca</t>
    <phoneticPr fontId="2" type="noConversion"/>
  </si>
  <si>
    <t>UnkoandNiku</t>
    <phoneticPr fontId="2" type="noConversion"/>
  </si>
  <si>
    <t>蘋果拾柒丼</t>
    <phoneticPr fontId="2" type="noConversion"/>
  </si>
  <si>
    <t>KensDarksoul</t>
  </si>
  <si>
    <t>WadaSG</t>
    <phoneticPr fontId="2" type="noConversion"/>
  </si>
  <si>
    <t>OQoQ</t>
    <phoneticPr fontId="2" type="noConversion"/>
  </si>
  <si>
    <t>KnucklesHuang</t>
    <phoneticPr fontId="2" type="noConversion"/>
  </si>
  <si>
    <t>拓跋鬼</t>
    <phoneticPr fontId="2" type="noConversion"/>
  </si>
  <si>
    <t>指挥官1bde11615</t>
    <phoneticPr fontId="2" type="noConversion"/>
  </si>
  <si>
    <t>閃耀的心</t>
    <phoneticPr fontId="2" type="noConversion"/>
  </si>
  <si>
    <t>A10</t>
    <phoneticPr fontId="2" type="noConversion"/>
  </si>
  <si>
    <t>tata1974</t>
    <phoneticPr fontId="2" type="noConversion"/>
  </si>
  <si>
    <t>Khoai vn</t>
    <phoneticPr fontId="2" type="noConversion"/>
  </si>
  <si>
    <t>B10</t>
    <phoneticPr fontId="2" type="noConversion"/>
  </si>
  <si>
    <t>荒野土地公</t>
    <phoneticPr fontId="2" type="noConversion"/>
  </si>
  <si>
    <t>跳房子</t>
    <phoneticPr fontId="2" type="noConversion"/>
  </si>
  <si>
    <t>Peach西瓜</t>
    <phoneticPr fontId="2" type="noConversion"/>
  </si>
  <si>
    <t>Vô Cực Ý Đạo</t>
  </si>
  <si>
    <t>Trăng xanh</t>
  </si>
  <si>
    <t>chuanli</t>
    <phoneticPr fontId="2" type="noConversion"/>
  </si>
  <si>
    <t>短腿小姐姐</t>
    <phoneticPr fontId="2" type="noConversion"/>
  </si>
  <si>
    <t>柏睿小子</t>
    <phoneticPr fontId="2" type="noConversion"/>
  </si>
  <si>
    <t>翊髮彌</t>
    <phoneticPr fontId="2" type="noConversion"/>
  </si>
  <si>
    <t>蜜蜂網球王</t>
    <phoneticPr fontId="2" type="noConversion"/>
  </si>
  <si>
    <t>鱼梨</t>
    <phoneticPr fontId="2" type="noConversion"/>
  </si>
  <si>
    <t>翻车鱼2</t>
    <phoneticPr fontId="2" type="noConversion"/>
  </si>
  <si>
    <t>SkyRed15</t>
    <phoneticPr fontId="2" type="noConversion"/>
  </si>
  <si>
    <t>ohworia</t>
    <phoneticPr fontId="2" type="noConversion"/>
  </si>
  <si>
    <t>就是VC</t>
    <phoneticPr fontId="2" type="noConversion"/>
  </si>
  <si>
    <t>Rồng Nhỏ</t>
  </si>
  <si>
    <t>Min1976</t>
    <phoneticPr fontId="2" type="noConversion"/>
  </si>
  <si>
    <t>zen</t>
    <phoneticPr fontId="2" type="noConversion"/>
  </si>
  <si>
    <t>Bukit Timah</t>
    <phoneticPr fontId="2" type="noConversion"/>
  </si>
  <si>
    <t>森上 梅有黔</t>
    <phoneticPr fontId="2" type="noConversion"/>
  </si>
  <si>
    <t>buluthz27</t>
    <phoneticPr fontId="2" type="noConversion"/>
  </si>
  <si>
    <t>Laura Chien</t>
    <phoneticPr fontId="2" type="noConversion"/>
  </si>
  <si>
    <t>懶覺供酒桃</t>
    <phoneticPr fontId="2" type="noConversion"/>
  </si>
  <si>
    <t>Daleee蒂蒂</t>
    <phoneticPr fontId="2" type="noConversion"/>
  </si>
  <si>
    <t>张Babe</t>
    <phoneticPr fontId="2" type="noConversion"/>
  </si>
  <si>
    <t>ToanPham</t>
  </si>
  <si>
    <t>Blackeyepeac</t>
    <phoneticPr fontId="2" type="noConversion"/>
  </si>
  <si>
    <t>指挥官370c21615</t>
    <phoneticPr fontId="2" type="noConversion"/>
  </si>
  <si>
    <t>Louiselin</t>
    <phoneticPr fontId="2" type="noConversion"/>
  </si>
  <si>
    <t>MyWayne</t>
    <phoneticPr fontId="2" type="noConversion"/>
  </si>
  <si>
    <t>Kaserna</t>
    <phoneticPr fontId="2" type="noConversion"/>
  </si>
  <si>
    <t>Chỉ Huy 2b8511615</t>
  </si>
  <si>
    <t>詩詩Kwan Mỹ Thi</t>
  </si>
  <si>
    <t>FightningFalcon</t>
    <phoneticPr fontId="2" type="noConversion"/>
  </si>
  <si>
    <t>趴趴熊趴趴</t>
    <phoneticPr fontId="2" type="noConversion"/>
  </si>
  <si>
    <t>tntn2015</t>
    <phoneticPr fontId="2" type="noConversion"/>
  </si>
  <si>
    <t>踴躍發言西挖</t>
    <phoneticPr fontId="2" type="noConversion"/>
  </si>
  <si>
    <t>Nyxaria</t>
    <phoneticPr fontId="2" type="noConversion"/>
  </si>
  <si>
    <t>煞時間</t>
    <phoneticPr fontId="2" type="noConversion"/>
  </si>
  <si>
    <t>黑暗的心</t>
    <phoneticPr fontId="2" type="noConversion"/>
  </si>
  <si>
    <t>HelloChina</t>
    <phoneticPr fontId="2" type="noConversion"/>
  </si>
  <si>
    <t>azan haider</t>
    <phoneticPr fontId="2" type="noConversion"/>
  </si>
  <si>
    <t>布丁狗隊長</t>
    <phoneticPr fontId="2" type="noConversion"/>
  </si>
  <si>
    <t>Đình Chính Nè</t>
  </si>
  <si>
    <t>其小光美</t>
    <phoneticPr fontId="2" type="noConversion"/>
  </si>
  <si>
    <t>DiDaDiDa</t>
    <phoneticPr fontId="2" type="noConversion"/>
  </si>
  <si>
    <t>依柏雷</t>
    <phoneticPr fontId="2" type="noConversion"/>
  </si>
  <si>
    <t>大智若黑鮪魚</t>
    <phoneticPr fontId="2" type="noConversion"/>
  </si>
  <si>
    <t>swat khan1255</t>
    <phoneticPr fontId="2" type="noConversion"/>
  </si>
  <si>
    <t>DuckSide</t>
    <phoneticPr fontId="2" type="noConversion"/>
  </si>
  <si>
    <t>SkullUD</t>
    <phoneticPr fontId="2" type="noConversion"/>
  </si>
  <si>
    <t>奇妙的瀚翰</t>
    <phoneticPr fontId="2" type="noConversion"/>
  </si>
  <si>
    <r>
      <t>s</t>
    </r>
    <r>
      <rPr>
        <sz val="12"/>
        <rFont val="等线"/>
        <family val="2"/>
        <scheme val="minor"/>
      </rPr>
      <t>ơ</t>
    </r>
    <r>
      <rPr>
        <sz val="12"/>
        <rFont val="等线"/>
        <family val="3"/>
        <charset val="134"/>
        <scheme val="minor"/>
      </rPr>
      <t>n 234</t>
    </r>
    <phoneticPr fontId="2" type="noConversion"/>
  </si>
  <si>
    <t>hàn lão ma</t>
  </si>
  <si>
    <t>rd89</t>
    <phoneticPr fontId="2" type="noConversion"/>
  </si>
  <si>
    <t>viper061</t>
  </si>
  <si>
    <t>闊海 頭文字D</t>
    <phoneticPr fontId="2" type="noConversion"/>
  </si>
  <si>
    <t>shang6365</t>
    <phoneticPr fontId="2" type="noConversion"/>
  </si>
  <si>
    <t>G8Team</t>
    <phoneticPr fontId="2" type="noConversion"/>
  </si>
  <si>
    <t>Princess Elsaa</t>
    <phoneticPr fontId="2" type="noConversion"/>
  </si>
  <si>
    <t>FogãoGlacial</t>
  </si>
  <si>
    <t>Akkkkkkkkk2</t>
    <phoneticPr fontId="2" type="noConversion"/>
  </si>
  <si>
    <t>獨孤渣渣</t>
    <phoneticPr fontId="2" type="noConversion"/>
  </si>
  <si>
    <t>AnhGiang226</t>
    <phoneticPr fontId="2" type="noConversion"/>
  </si>
  <si>
    <t>Nirmal kishore</t>
    <phoneticPr fontId="2" type="noConversion"/>
  </si>
  <si>
    <t>守望相助</t>
    <phoneticPr fontId="2" type="noConversion"/>
  </si>
  <si>
    <t>龍王</t>
    <phoneticPr fontId="2" type="noConversion"/>
  </si>
  <si>
    <t>nabuks only help</t>
  </si>
  <si>
    <t>fantasy2999</t>
    <phoneticPr fontId="2" type="noConversion"/>
  </si>
  <si>
    <t>TANG OAO</t>
    <phoneticPr fontId="2" type="noConversion"/>
  </si>
  <si>
    <t>VS 4</t>
    <phoneticPr fontId="2" type="noConversion"/>
  </si>
  <si>
    <t>VS 5</t>
    <phoneticPr fontId="2" type="noConversion"/>
  </si>
  <si>
    <t>Don. 4</t>
    <phoneticPr fontId="2" type="noConversion"/>
  </si>
  <si>
    <t>Don. 5</t>
    <phoneticPr fontId="2" type="noConversion"/>
  </si>
  <si>
    <t>DS 5</t>
    <phoneticPr fontId="2" type="noConversion"/>
  </si>
  <si>
    <t>0201</t>
    <phoneticPr fontId="2" type="noConversion"/>
  </si>
  <si>
    <t>0125</t>
    <phoneticPr fontId="2" type="noConversion"/>
  </si>
  <si>
    <t>0118</t>
    <phoneticPr fontId="2" type="noConversion"/>
  </si>
  <si>
    <t>0208</t>
    <phoneticPr fontId="2" type="noConversion"/>
  </si>
  <si>
    <t>0215</t>
    <phoneticPr fontId="2" type="noConversion"/>
  </si>
  <si>
    <t>Bobs Chillin</t>
    <phoneticPr fontId="2" type="noConversion"/>
  </si>
  <si>
    <t>肥羊不要跑</t>
    <phoneticPr fontId="2" type="noConversion"/>
  </si>
  <si>
    <t>ᴍɪɴɢᴊᴜɴღ</t>
    <phoneticPr fontId="2" type="noConversion"/>
  </si>
  <si>
    <t>Kim anh jojo</t>
    <phoneticPr fontId="2" type="noConversion"/>
  </si>
  <si>
    <t>Sunnmn</t>
    <phoneticPr fontId="2" type="noConversion"/>
  </si>
  <si>
    <t>DS 6</t>
    <phoneticPr fontId="2" type="noConversion"/>
  </si>
  <si>
    <t>DS 7</t>
    <phoneticPr fontId="2" type="noConversion"/>
  </si>
  <si>
    <t>A20</t>
    <phoneticPr fontId="2" type="noConversion"/>
  </si>
  <si>
    <t>A10</t>
    <phoneticPr fontId="2" type="noConversion"/>
  </si>
  <si>
    <t>B20</t>
    <phoneticPr fontId="2" type="noConversion"/>
  </si>
  <si>
    <t>B10</t>
    <phoneticPr fontId="2" type="noConversion"/>
  </si>
  <si>
    <t>RS 1</t>
    <phoneticPr fontId="2" type="noConversion"/>
  </si>
  <si>
    <t>RS 2</t>
    <phoneticPr fontId="2" type="noConversion"/>
  </si>
  <si>
    <t>RS 4</t>
    <phoneticPr fontId="2" type="noConversion"/>
  </si>
  <si>
    <t>RS 5</t>
    <phoneticPr fontId="2" type="noConversion"/>
  </si>
  <si>
    <t>RS 7</t>
    <phoneticPr fontId="2" type="noConversion"/>
  </si>
  <si>
    <t>RS 8</t>
    <phoneticPr fontId="2" type="noConversion"/>
  </si>
  <si>
    <t>RS W</t>
    <phoneticPr fontId="2" type="noConversion"/>
  </si>
  <si>
    <t>0204</t>
    <phoneticPr fontId="2" type="noConversion"/>
  </si>
  <si>
    <t>0207</t>
    <phoneticPr fontId="2" type="noConversion"/>
  </si>
  <si>
    <t>0214</t>
    <phoneticPr fontId="2" type="noConversion"/>
  </si>
  <si>
    <t>0218</t>
    <phoneticPr fontId="2" type="noConversion"/>
  </si>
  <si>
    <t>0225</t>
    <phoneticPr fontId="2" type="noConversion"/>
  </si>
  <si>
    <t>0228</t>
    <phoneticPr fontId="2" type="noConversion"/>
  </si>
  <si>
    <t>Change</t>
    <phoneticPr fontId="2" type="noConversion"/>
  </si>
  <si>
    <t>VS 6</t>
  </si>
  <si>
    <t>Don. 6</t>
  </si>
  <si>
    <t>VS Pts</t>
    <phoneticPr fontId="2" type="noConversion"/>
  </si>
  <si>
    <t>Don. Pts</t>
    <phoneticPr fontId="2" type="noConversion"/>
  </si>
  <si>
    <t>DS Pts</t>
    <phoneticPr fontId="2" type="noConversion"/>
  </si>
  <si>
    <t>RS Pts</t>
    <phoneticPr fontId="2" type="noConversion"/>
  </si>
  <si>
    <t>VS 7</t>
  </si>
  <si>
    <t>Don. 7</t>
  </si>
  <si>
    <t>总分</t>
    <phoneticPr fontId="2" type="noConversion"/>
  </si>
  <si>
    <t>人数</t>
    <phoneticPr fontId="2" type="noConversion"/>
  </si>
  <si>
    <t>平均分</t>
    <phoneticPr fontId="2" type="noConversion"/>
  </si>
  <si>
    <t>RS 1'</t>
    <phoneticPr fontId="2" type="noConversion"/>
  </si>
  <si>
    <t>RS 1''</t>
    <phoneticPr fontId="2" type="noConversion"/>
  </si>
  <si>
    <t>RS 2''</t>
    <phoneticPr fontId="2" type="noConversion"/>
  </si>
  <si>
    <t>RS 2'</t>
    <phoneticPr fontId="2" type="noConversion"/>
  </si>
  <si>
    <t>RS 4''</t>
    <phoneticPr fontId="2" type="noConversion"/>
  </si>
  <si>
    <t>RS 4'</t>
    <phoneticPr fontId="2" type="noConversion"/>
  </si>
  <si>
    <t>RS 5''</t>
    <phoneticPr fontId="2" type="noConversion"/>
  </si>
  <si>
    <t>RS 5'</t>
    <phoneticPr fontId="2" type="noConversion"/>
  </si>
  <si>
    <t>RS 7'</t>
    <phoneticPr fontId="2" type="noConversion"/>
  </si>
  <si>
    <t>RS 7''</t>
    <phoneticPr fontId="2" type="noConversion"/>
  </si>
  <si>
    <t>RS 8''</t>
    <phoneticPr fontId="2" type="noConversion"/>
  </si>
  <si>
    <t>RS 8'</t>
    <phoneticPr fontId="2" type="noConversion"/>
  </si>
  <si>
    <t>RS W'</t>
    <phoneticPr fontId="2" type="noConversion"/>
  </si>
  <si>
    <t>RS W''</t>
    <phoneticPr fontId="2" type="noConversion"/>
  </si>
  <si>
    <t>Siege1</t>
    <phoneticPr fontId="2" type="noConversion"/>
  </si>
  <si>
    <t>Siege1'</t>
    <phoneticPr fontId="2" type="noConversion"/>
  </si>
  <si>
    <t>Siege1''</t>
    <phoneticPr fontId="2" type="noConversion"/>
  </si>
  <si>
    <t>Siege</t>
    <phoneticPr fontId="2" type="noConversion"/>
  </si>
  <si>
    <t>Siege'</t>
    <phoneticPr fontId="2" type="noConversion"/>
  </si>
  <si>
    <t>Siege''</t>
    <phoneticPr fontId="2" type="noConversion"/>
  </si>
  <si>
    <t>Asst.1</t>
    <phoneticPr fontId="2" type="noConversion"/>
  </si>
  <si>
    <t>0222</t>
    <phoneticPr fontId="2" type="noConversion"/>
  </si>
  <si>
    <t>0301</t>
    <phoneticPr fontId="2" type="noConversion"/>
  </si>
  <si>
    <t>Penalty</t>
    <phoneticPr fontId="2" type="noConversion"/>
  </si>
  <si>
    <t>PEN1</t>
    <phoneticPr fontId="2" type="noConversion"/>
  </si>
  <si>
    <t>PEN2</t>
    <phoneticPr fontId="2" type="noConversion"/>
  </si>
  <si>
    <t>A20</t>
    <phoneticPr fontId="2" type="noConversion"/>
  </si>
  <si>
    <t>RS 6''</t>
  </si>
  <si>
    <t>RS 6</t>
    <phoneticPr fontId="2" type="noConversion"/>
  </si>
  <si>
    <t>RS 6‘</t>
    <phoneticPr fontId="2" type="noConversion"/>
  </si>
  <si>
    <t>PEN3</t>
  </si>
  <si>
    <t>PEN12</t>
  </si>
  <si>
    <t>PEN13</t>
  </si>
  <si>
    <t>Asst.''1</t>
    <phoneticPr fontId="2" type="noConversion"/>
  </si>
  <si>
    <t>Asst.</t>
    <phoneticPr fontId="2" type="noConversion"/>
  </si>
  <si>
    <t>Asst.''</t>
    <phoneticPr fontId="2" type="noConversion"/>
  </si>
  <si>
    <t>6</t>
    <phoneticPr fontId="2" type="noConversion"/>
  </si>
  <si>
    <t>Week 6</t>
    <phoneticPr fontId="2" type="noConversion"/>
  </si>
  <si>
    <t>https://github.com/PeachMelon666/SWXZ-Alliance-Data/tree/main/S2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</si>
</sst>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_ "/>
    <numFmt numFmtId="177" formatCode="0.0_ "/>
    <numFmt numFmtId="178" formatCode="0.0_);[Red]\(0.0\)"/>
    <numFmt numFmtId="179" formatCode="0.0_ ;[Red]\-0.0\ "/>
    <numFmt numFmtId="180" formatCode="0.0000_);[Red]\(0.0000\)"/>
    <numFmt numFmtId="181" formatCode="0.00_);[Red]\(0.00\)"/>
    <numFmt numFmtId="182" formatCode="0_);[Red]\(0\)"/>
    <numFmt numFmtId="183" formatCode="0_ ;[Red]\-0\ "/>
  </numFmts>
  <fonts count="13" x14ac:knownFonts="1">
    <font>
      <sz val="11"/>
      <color theme="1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2"/>
      <name val="等线"/>
      <family val="3"/>
      <charset val="134"/>
      <scheme val="minor"/>
    </font>
    <font>
      <sz val="13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sz val="12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name val="等线"/>
      <family val="3"/>
      <charset val="134"/>
      <scheme val="minor"/>
    </font>
    <font>
      <b/>
      <sz val="10"/>
      <color rgb="FFFF0000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5" fillId="0" borderId="0" xfId="0" applyNumberFormat="1" applyFont="1" applyAlignment="1">
      <alignment vertical="center"/>
    </xf>
    <xf numFmtId="178" fontId="0" fillId="0" borderId="0" xfId="0" applyNumberFormat="1"/>
    <xf numFmtId="178" fontId="3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3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179" fontId="0" fillId="0" borderId="0" xfId="0" applyNumberFormat="1"/>
    <xf numFmtId="180" fontId="1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vertical="center"/>
    </xf>
    <xf numFmtId="181" fontId="1" fillId="0" borderId="0" xfId="0" applyNumberFormat="1" applyFont="1" applyAlignment="1">
      <alignment horizontal="center" vertical="center"/>
    </xf>
    <xf numFmtId="181" fontId="5" fillId="0" borderId="0" xfId="0" applyNumberFormat="1" applyFont="1" applyAlignment="1">
      <alignment vertical="center"/>
    </xf>
    <xf numFmtId="182" fontId="1" fillId="0" borderId="0" xfId="0" applyNumberFormat="1" applyFont="1" applyAlignment="1">
      <alignment horizontal="center" vertical="center"/>
    </xf>
    <xf numFmtId="182" fontId="5" fillId="0" borderId="0" xfId="0" applyNumberFormat="1" applyFont="1" applyAlignment="1">
      <alignment vertical="center"/>
    </xf>
    <xf numFmtId="182" fontId="0" fillId="0" borderId="0" xfId="0" applyNumberFormat="1"/>
    <xf numFmtId="183" fontId="1" fillId="0" borderId="0" xfId="0" applyNumberFormat="1" applyFont="1" applyAlignment="1">
      <alignment horizontal="center" vertical="center"/>
    </xf>
    <xf numFmtId="183" fontId="5" fillId="0" borderId="0" xfId="0" applyNumberFormat="1" applyFont="1" applyAlignment="1">
      <alignment vertical="center"/>
    </xf>
    <xf numFmtId="183" fontId="0" fillId="0" borderId="0" xfId="0" applyNumberFormat="1"/>
    <xf numFmtId="183" fontId="10" fillId="0" borderId="0" xfId="0" applyNumberFormat="1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78" fontId="9" fillId="0" borderId="2" xfId="0" applyNumberFormat="1" applyFont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176" fontId="10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/>
    </xf>
    <xf numFmtId="178" fontId="10" fillId="0" borderId="2" xfId="0" applyNumberFormat="1" applyFont="1" applyBorder="1" applyAlignment="1">
      <alignment horizontal="center" vertical="center"/>
    </xf>
    <xf numFmtId="182" fontId="10" fillId="0" borderId="2" xfId="0" applyNumberFormat="1" applyFont="1" applyBorder="1" applyAlignment="1">
      <alignment horizontal="center" vertical="center"/>
    </xf>
    <xf numFmtId="181" fontId="10" fillId="0" borderId="2" xfId="0" applyNumberFormat="1" applyFont="1" applyBorder="1" applyAlignment="1">
      <alignment horizontal="center" vertical="center"/>
    </xf>
    <xf numFmtId="180" fontId="10" fillId="0" borderId="2" xfId="0" applyNumberFormat="1" applyFont="1" applyBorder="1" applyAlignment="1">
      <alignment horizontal="center" vertical="center"/>
    </xf>
    <xf numFmtId="182" fontId="8" fillId="0" borderId="2" xfId="0" applyNumberFormat="1" applyFont="1" applyBorder="1" applyAlignment="1">
      <alignment horizontal="center" vertical="center"/>
    </xf>
    <xf numFmtId="183" fontId="9" fillId="0" borderId="4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83" fontId="1" fillId="0" borderId="5" xfId="0" applyNumberFormat="1" applyFont="1" applyBorder="1" applyAlignment="1">
      <alignment horizontal="center" vertical="center"/>
    </xf>
    <xf numFmtId="179" fontId="8" fillId="0" borderId="4" xfId="0" applyNumberFormat="1" applyFont="1" applyBorder="1" applyAlignment="1">
      <alignment horizontal="center" vertical="center"/>
    </xf>
    <xf numFmtId="179" fontId="3" fillId="0" borderId="5" xfId="0" applyNumberFormat="1" applyFont="1" applyBorder="1" applyAlignment="1">
      <alignment horizontal="center" vertical="center"/>
    </xf>
    <xf numFmtId="178" fontId="9" fillId="0" borderId="1" xfId="0" applyNumberFormat="1" applyFont="1" applyBorder="1" applyAlignment="1">
      <alignment horizontal="center" vertical="center"/>
    </xf>
    <xf numFmtId="178" fontId="10" fillId="0" borderId="4" xfId="0" applyNumberFormat="1" applyFont="1" applyBorder="1" applyAlignment="1">
      <alignment horizontal="center" vertical="center"/>
    </xf>
    <xf numFmtId="178" fontId="1" fillId="0" borderId="3" xfId="0" applyNumberFormat="1" applyFont="1" applyBorder="1" applyAlignment="1">
      <alignment horizontal="center" vertical="center"/>
    </xf>
    <xf numFmtId="178" fontId="1" fillId="0" borderId="5" xfId="0" applyNumberFormat="1" applyFont="1" applyBorder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2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7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3" formatCode="0_ ;[Red]\-0\ 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0" formatCode="0.0000_);[Red]\(0.00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1" formatCode="0.00_);[Red]\(0.0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82" formatCode="0_);[Red]\(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176" formatCode="0_ 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family val="3"/>
        <charset val="134"/>
        <scheme val="minor"/>
      </font>
      <numFmt numFmtId="178" formatCode="0.0_);[Red]\(0.0\)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family val="3"/>
        <charset val="134"/>
        <scheme val="minor"/>
      </font>
      <numFmt numFmtId="179" formatCode="0.0_ ;[Red]\-0.0\ "/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等线"/>
        <charset val="134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等线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等线"/>
        <family val="2"/>
        <scheme val="none"/>
      </font>
      <numFmt numFmtId="177" formatCode="0.0_ "/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等线"/>
        <charset val="134"/>
        <scheme val="minor"/>
      </font>
      <numFmt numFmtId="177" formatCode="0.0_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C483F7-F2E9-42D4-9174-77E43B1083AC}" name="表2_34" displayName="表2_34" ref="C3:BS97" totalsRowShown="0" headerRowDxfId="70" dataDxfId="69">
  <sortState xmlns:xlrd2="http://schemas.microsoft.com/office/spreadsheetml/2017/richdata2" ref="C4:BS97">
    <sortCondition descending="1" ref="F3:F97"/>
  </sortState>
  <tableColumns count="69">
    <tableColumn id="17" xr3:uid="{6A06E39B-D8C3-429F-A05F-08FB3594B806}" name="Rank" dataDxfId="68"/>
    <tableColumn id="18" xr3:uid="{8C6A6C70-59C2-494F-AA68-CA4EF94052E3}" name="Change" dataDxfId="67">
      <calculatedColumnFormula>IF(C4&lt;B4,"▲"&amp;B4-C4,IF(C4&gt;B4,"▼"&amp;C4-B4,"—"))</calculatedColumnFormula>
    </tableColumn>
    <tableColumn id="4" xr3:uid="{17A06068-1746-4E99-9090-7ACC8C4E3FE0}" name="ID" dataDxfId="66"/>
    <tableColumn id="13" xr3:uid="{6A3C489E-725B-4700-8E30-7A940145EB3E}" name="Total" dataDxfId="65">
      <calculatedColumnFormula>IF(COUNTIF(H4:L4,"&gt;=0")=0,0,SUMIF(H4:L4,"&gt;=0",H4:L4)*3/COUNTIF(H4:L4,"&gt;=0"))
 +IF(COUNTIF(P4:T4,"&gt;=0")=0,0,SUMIF(P4:T4,"&gt;=0",P4:T4)*0.2*3/COUNTIF(P4:T4,"&gt;=0"))
 +SUMPRODUCT(IF(X4:Z4="",0,VALUE(MID(X4:Z4,2,99))))</calculatedColumnFormula>
    </tableColumn>
    <tableColumn id="33" xr3:uid="{8B5A960F-2BA1-415D-B8FF-2ABEA1930962}" name="VS Pts" dataDxfId="64">
      <calculatedColumnFormula>IF(COUNTIF(H4:O4,"&gt;0")=0,0,
(SUMIF(H4:O4,"&gt;0",H4:O4)*5/COUNTIF(H4:O4,"&gt;0"))*
IF(5-COUNTIF(H4:O4,"&gt;0")&lt;=2,1,
IF(5-COUNTIF(H4:O4,"&gt;0")=3,0.8,
IF(5-COUNTIF(H4:O4,"&gt;0")=4,0.6,0))))</calculatedColumnFormula>
    </tableColumn>
    <tableColumn id="1" xr3:uid="{79574B48-58CC-4460-8852-B4041DAE81FB}" name="VS 1 " dataDxfId="63"/>
    <tableColumn id="6" xr3:uid="{DD7D5BA3-362A-4905-82E2-9D36218EA3CC}" name="VS 2" dataDxfId="62"/>
    <tableColumn id="3" xr3:uid="{6C9654F4-7A8C-4E30-935E-3FFC36618A6D}" name="VS 3" dataDxfId="61"/>
    <tableColumn id="14" xr3:uid="{5654E104-75E9-42DB-B02B-CD85F1047F8B}" name="VS 4" dataDxfId="60"/>
    <tableColumn id="11" xr3:uid="{A9416FAF-6C60-4749-830D-CF9CE45FDEB7}" name="VS 5" dataDxfId="59"/>
    <tableColumn id="37" xr3:uid="{D5D02F72-8BC6-4EE7-8762-F3F76682EA0E}" name="VS 6" dataDxfId="58"/>
    <tableColumn id="38" xr3:uid="{BE69E98A-4CBA-4BB7-89A8-6A7F10BC74EC}" name="VS 7" dataDxfId="57"/>
    <tableColumn id="34" xr3:uid="{F12A7D92-F1AA-440A-BCA3-B890CEC31821}" name="Don. Pts" dataDxfId="56">
      <calculatedColumnFormula>0.2*IF(COUNTIF(P4:INDEX(P4:V4,$B$1),"&gt;0")=0,0,
(SUMIF(P4:INDEX(P4:V4,$B$1),"&gt;0",P4:INDEX(P4:V4,$B$1))*$B$1/COUNTIF(P4:INDEX(P4:V4,$B$1),"&gt;0"))*
IF($B$1-COUNTIF(P4:INDEX(P4:V4,$B$1),"&gt;0")&lt;=2,1,
IF($B$1-COUNTIF(P4:INDEX(P4:V4,$B$1),"&gt;0")=3,0.8,
IF($B$1-COUNTIF(P4:INDEX(P4:V4,$B$1),"&gt;0")=4,0.6,0))))</calculatedColumnFormula>
    </tableColumn>
    <tableColumn id="2" xr3:uid="{69B6E91F-160C-4133-904A-AF40A5E39C6D}" name="Don. 1" dataDxfId="55"/>
    <tableColumn id="7" xr3:uid="{817C40E3-E40E-4F57-8E2A-0DA1375C36A4}" name="Don. 2" dataDxfId="54"/>
    <tableColumn id="8" xr3:uid="{F10A3310-F711-4D22-8A79-0C278F02759E}" name="Don. 3" dataDxfId="53"/>
    <tableColumn id="16" xr3:uid="{DA077ABF-C5C6-4817-ABE4-DB0A01F3BB30}" name="Don. 4" dataDxfId="52"/>
    <tableColumn id="15" xr3:uid="{4CC9D5D6-AE54-4427-8C86-2C691F95699D}" name="Don. 5" dataDxfId="51"/>
    <tableColumn id="39" xr3:uid="{C804A683-2A2D-4DCB-BD4D-3F161FA3EE10}" name="Don. 6" dataDxfId="50"/>
    <tableColumn id="40" xr3:uid="{F0530406-C187-4731-AFA9-DF46853B45D1}" name="Don. 7" dataDxfId="49"/>
    <tableColumn id="35" xr3:uid="{88D5A743-CD6B-42FD-9B9F-664E0DB0AB7B}" name="DS Pts" dataDxfId="48">
      <calculatedColumnFormula>MIN(100,
IF($B$1&gt;=1,IFERROR(VALUE(SUBSTITUTE(SUBSTITUTE(TRIM(X4),"A",""),"B","")),0),0)+
IF($B$1&gt;=2,IFERROR(VALUE(SUBSTITUTE(SUBSTITUTE(TRIM(Y4),"A",""),"B","")),0),0)+
IF($B$1&gt;=3,IFERROR(VALUE(SUBSTITUTE(SUBSTITUTE(TRIM(Z4),"A",""),"B","")),0),0)+
IF($B$1&gt;=4,IFERROR(VALUE(SUBSTITUTE(SUBSTITUTE(TRIM(AA4),"A",""),"B","")),0),0)+
IF($B$1&gt;=5,IFERROR(VALUE(SUBSTITUTE(SUBSTITUTE(TRIM(AB4),"A",""),"B","")),0),0)+
IF($B$1&gt;=6,IFERROR(VALUE(SUBSTITUTE(SUBSTITUTE(TRIM(AC4),"A",""),"B","")),0),0)+
IF($B$1&gt;=7,IFERROR(VALUE(SUBSTITUTE(SUBSTITUTE(TRIM(AD4),"A",""),"B","")),0),0)
)</calculatedColumnFormula>
    </tableColumn>
    <tableColumn id="5" xr3:uid="{08477F0F-D100-41D5-96CF-E74959746F34}" name="DS 1" dataDxfId="47"/>
    <tableColumn id="9" xr3:uid="{E59EABCD-E058-4CDB-B8C0-3AE93CB743CB}" name="DS 2" dataDxfId="46"/>
    <tableColumn id="10" xr3:uid="{31E4A0FE-BC2C-4F43-BD0C-221F397BB1AC}" name="DS 3" dataDxfId="45"/>
    <tableColumn id="12" xr3:uid="{DF2BD9BE-A6DD-4F14-A385-0CA210F90207}" name="DS 4" dataDxfId="44"/>
    <tableColumn id="19" xr3:uid="{90F75517-A609-4A5F-9914-6D98847E22FC}" name="DS 5" dataDxfId="43"/>
    <tableColumn id="20" xr3:uid="{65EC333C-8371-4F93-A333-E59FF0104949}" name="DS 6" dataDxfId="42"/>
    <tableColumn id="21" xr3:uid="{BF345A47-2C50-44A8-B182-4A51275D1270}" name="DS 7" dataDxfId="41"/>
    <tableColumn id="36" xr3:uid="{450FFABF-74BB-4969-B1CE-774DE511076F}" name="RS Pts" dataDxfId="40">
      <calculatedColumnFormula>AH4+AK4+AN4+AQ4+AW4+AZ4+BC4</calculatedColumnFormula>
    </tableColumn>
    <tableColumn id="25" xr3:uid="{A5965051-87B5-41B0-99E2-49288DD3C6B5}" name="RS 1" dataDxfId="39"/>
    <tableColumn id="23" xr3:uid="{BA56BB0E-36C3-4840-9F0F-1B0E4D9BF5C9}" name="RS 1'" dataDxfId="38">
      <calculatedColumnFormula>SQRT(AF4)</calculatedColumnFormula>
    </tableColumn>
    <tableColumn id="42" xr3:uid="{A9C75C7B-093A-4CCA-9707-43FF01F78E68}" name="RS 1''" dataDxfId="37">
      <calculatedColumnFormula>IF(AG4&gt;0,AG4/AG$6*1000, 0)</calculatedColumnFormula>
    </tableColumn>
    <tableColumn id="24" xr3:uid="{A2317148-5743-4408-A6AA-FAD25A8FEF26}" name="RS 2" dataDxfId="36"/>
    <tableColumn id="41" xr3:uid="{B91F7837-1C63-46AA-BBBB-C794C856774B}" name="RS 2'" dataDxfId="35">
      <calculatedColumnFormula>SQRT(AI4)</calculatedColumnFormula>
    </tableColumn>
    <tableColumn id="43" xr3:uid="{564085A9-7D51-4BE8-8C4E-B2A224EDEB0B}" name="RS 2''" dataDxfId="34">
      <calculatedColumnFormula>IF(AJ4&gt;0,AJ4/AJ$6*1000, 0)</calculatedColumnFormula>
    </tableColumn>
    <tableColumn id="29" xr3:uid="{6F3C09FE-DD11-42CD-8679-83E89B230766}" name="RS 4" dataDxfId="33"/>
    <tableColumn id="56" xr3:uid="{4F492C15-C779-4C15-93C5-75FEAF1DD429}" name="RS 4'" dataDxfId="32">
      <calculatedColumnFormula>SQRT(AL4)</calculatedColumnFormula>
    </tableColumn>
    <tableColumn id="44" xr3:uid="{45E1042F-EFD8-4993-B970-C043154A16F1}" name="RS 4''" dataDxfId="31">
      <calculatedColumnFormula>IF(AM4&gt;0,AM4/AM$6*1000, 0)</calculatedColumnFormula>
    </tableColumn>
    <tableColumn id="28" xr3:uid="{05D9E44F-E886-4C16-B1CF-EC95AC449BE9}" name="RS 5" dataDxfId="30"/>
    <tableColumn id="59" xr3:uid="{A0AA4B46-05F2-41E1-9030-DBFE4377D6A5}" name="RS 5'" dataDxfId="29">
      <calculatedColumnFormula>SQRT(AO4)</calculatedColumnFormula>
    </tableColumn>
    <tableColumn id="45" xr3:uid="{B710BA02-F8BF-4C8B-90BC-3345628489EE}" name="RS 5''" dataDxfId="28">
      <calculatedColumnFormula>IF(AP4&gt;0,AP4/AP$6*1000, 0)</calculatedColumnFormula>
    </tableColumn>
    <tableColumn id="66" xr3:uid="{624560B9-BD48-45F9-9664-6758EBBDB4C8}" name="RS 6" dataDxfId="27"/>
    <tableColumn id="65" xr3:uid="{76E15DD4-7CA8-4CB1-BC66-F279D702EE88}" name="RS 6‘" dataDxfId="26">
      <calculatedColumnFormula>SQRT(AR4)</calculatedColumnFormula>
    </tableColumn>
    <tableColumn id="55" xr3:uid="{C33DF8DB-5C9D-4105-BA20-4AD030DB7B54}" name="RS 6''" dataDxfId="25">
      <calculatedColumnFormula>IF(AS4&gt;0,AS4/AS$6*1000, 0)</calculatedColumnFormula>
    </tableColumn>
    <tableColumn id="26" xr3:uid="{A76790A4-4468-4835-866B-B4D65A67F51C}" name="RS 7" dataDxfId="24"/>
    <tableColumn id="57" xr3:uid="{386027D6-70D6-4363-B3A1-D323460ED417}" name="RS 7'" dataDxfId="23"/>
    <tableColumn id="47" xr3:uid="{BAFF13D6-138C-47EC-B019-5744B1E89F75}" name="RS 7''" dataDxfId="22"/>
    <tableColumn id="30" xr3:uid="{03E000CA-925F-4572-B7A1-7AC72D4C8B15}" name="RS 8" dataDxfId="21"/>
    <tableColumn id="58" xr3:uid="{33601B2E-F090-491A-8DB9-8A9F762BCDA7}" name="RS 8'" dataDxfId="20"/>
    <tableColumn id="48" xr3:uid="{E0334814-3BB8-4571-BF76-FF28669BE1B5}" name="RS 8''" dataDxfId="19"/>
    <tableColumn id="31" xr3:uid="{B053329F-CDA1-45A0-BEC0-67CFB450C924}" name="RS W" dataDxfId="18"/>
    <tableColumn id="61" xr3:uid="{0CA3E2DD-2ED9-44A3-B4C0-4FBD0C13CE85}" name="RS W'" dataDxfId="17">
      <calculatedColumnFormula>SQRT(BA4)</calculatedColumnFormula>
    </tableColumn>
    <tableColumn id="60" xr3:uid="{3934AE8F-557C-4CD3-9D85-06F09AE93940}" name="RS W''" dataDxfId="16">
      <calculatedColumnFormula>IF(BB4&gt;0,BB4/BB$6*1000, 0)</calculatedColumnFormula>
    </tableColumn>
    <tableColumn id="32" xr3:uid="{14FF6526-A55E-4620-8BC5-8DC30D357B00}" name="Siege1" dataDxfId="15"/>
    <tableColumn id="62" xr3:uid="{F5267921-3A4A-4076-BCCA-FC5D0B5DA6AB}" name="Siege1'" dataDxfId="14">
      <calculatedColumnFormula>SQRT(BD4)</calculatedColumnFormula>
    </tableColumn>
    <tableColumn id="52" xr3:uid="{5A165D45-C504-4BA9-934E-F28810DA52D3}" name="Siege1''" dataDxfId="13">
      <calculatedColumnFormula>IF(AF4&gt;0, SQRT(A71)/BE3*1000, 0)</calculatedColumnFormula>
    </tableColumn>
    <tableColumn id="51" xr3:uid="{4BDFFECD-4A0A-4D12-8001-57678CB67171}" name="Siege" dataDxfId="12"/>
    <tableColumn id="63" xr3:uid="{6AEF9508-E80C-477D-81A5-3D66C61CFD08}" name="Siege'" dataDxfId="11"/>
    <tableColumn id="50" xr3:uid="{E79F3E05-C783-4C0C-972C-88032AF3B248}" name="Siege''" dataDxfId="10"/>
    <tableColumn id="22" xr3:uid="{676FFCEB-A505-4DD1-A0AA-1FD5C2ADD8E4}" name="Asst." dataDxfId="9"/>
    <tableColumn id="64" xr3:uid="{60707C04-C2AD-4CD3-86E7-7C85389C55C3}" name="Asst.''" dataDxfId="8"/>
    <tableColumn id="49" xr3:uid="{EA4ABEA4-511A-48D3-AE71-60CA6F8D7915}" name="Asst.1" dataDxfId="7"/>
    <tableColumn id="53" xr3:uid="{E3EAA3EB-9AC4-4C5C-99CC-2ECF086EA27C}" name="Asst.''1" dataDxfId="6">
      <calculatedColumnFormula>IF(BL4&gt;0, BL4/BL$6*2000, 0)</calculatedColumnFormula>
    </tableColumn>
    <tableColumn id="54" xr3:uid="{2B6EA9D6-5B5F-4E51-8DB9-7EF04ACA2991}" name="Penalty" dataDxfId="5">
      <calculatedColumnFormula>BO4+BP4</calculatedColumnFormula>
    </tableColumn>
    <tableColumn id="46" xr3:uid="{71C80FC8-07D8-4CC0-8858-B043B7A54320}" name="PEN2" dataDxfId="4"/>
    <tableColumn id="27" xr3:uid="{89207A83-BD83-4C13-A2F0-6D93558926C8}" name="PEN1" dataDxfId="3"/>
    <tableColumn id="69" xr3:uid="{AE8FC6BD-1459-4A0B-AB9F-65F298112513}" name="PEN13" dataDxfId="2"/>
    <tableColumn id="68" xr3:uid="{ABC4F0E7-742C-4A51-ACC8-EF093B895680}" name="PEN12" dataDxfId="1"/>
    <tableColumn id="67" xr3:uid="{D481D363-5A35-4EED-AB0C-2A44ECFBDAE8}" name="PEN3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5510-605A-4415-BB14-C701B4750A47}">
  <sheetPr>
    <pageSetUpPr fitToPage="1"/>
  </sheetPr>
  <dimension ref="A1:CR100"/>
  <sheetViews>
    <sheetView showGridLines="0" tabSelected="1" zoomScaleNormal="100" workbookViewId="0">
      <pane xSplit="6" ySplit="3" topLeftCell="G88" activePane="bottomRight" state="frozen"/>
      <selection pane="topRight" activeCell="F1" sqref="F1"/>
      <selection pane="bottomLeft" activeCell="A4" sqref="A4"/>
      <selection pane="bottomRight" activeCell="A39" sqref="A39:XFD39"/>
    </sheetView>
  </sheetViews>
  <sheetFormatPr defaultColWidth="9" defaultRowHeight="0" customHeight="1" zeroHeight="1" x14ac:dyDescent="0.25"/>
  <cols>
    <col min="1" max="1" width="5.6640625" style="1" customWidth="1"/>
    <col min="2" max="2" width="0" hidden="1" customWidth="1"/>
    <col min="5" max="5" width="20.6640625" style="1" customWidth="1"/>
    <col min="6" max="6" width="10.77734375" style="19" customWidth="1"/>
    <col min="7" max="7" width="10.77734375" style="14" customWidth="1"/>
    <col min="8" max="9" width="10.77734375" style="2" hidden="1" customWidth="1"/>
    <col min="10" max="10" width="10.77734375" style="3" hidden="1" customWidth="1"/>
    <col min="11" max="14" width="10.77734375" style="2" hidden="1" customWidth="1"/>
    <col min="15" max="15" width="10.77734375" style="15" customWidth="1"/>
    <col min="16" max="16" width="10.77734375" hidden="1" customWidth="1"/>
    <col min="17" max="22" width="10.77734375" style="3" hidden="1" customWidth="1"/>
    <col min="23" max="23" width="10.77734375" style="3" customWidth="1"/>
    <col min="24" max="24" width="10.77734375" hidden="1" customWidth="1"/>
    <col min="25" max="30" width="10.77734375" style="3" hidden="1" customWidth="1"/>
    <col min="31" max="31" width="10.77734375" style="12" customWidth="1"/>
    <col min="32" max="33" width="10.77734375" style="12" hidden="1" customWidth="1"/>
    <col min="34" max="34" width="10.77734375" style="12" customWidth="1"/>
    <col min="35" max="36" width="10.77734375" style="14" hidden="1" customWidth="1"/>
    <col min="37" max="37" width="10.77734375" style="14" customWidth="1"/>
    <col min="38" max="39" width="10.77734375" style="12" hidden="1" customWidth="1"/>
    <col min="40" max="40" width="10.77734375" style="12" customWidth="1"/>
    <col min="41" max="42" width="10.77734375" style="12" hidden="1" customWidth="1"/>
    <col min="43" max="43" width="10.77734375" style="12" customWidth="1"/>
    <col min="44" max="45" width="10.77734375" style="12" hidden="1" customWidth="1"/>
    <col min="46" max="46" width="10.77734375" style="12" customWidth="1"/>
    <col min="47" max="52" width="10.77734375" style="12" hidden="1" customWidth="1"/>
    <col min="53" max="53" width="10.77734375" style="24" hidden="1" customWidth="1"/>
    <col min="54" max="54" width="10.77734375" style="12" hidden="1" customWidth="1"/>
    <col min="55" max="55" width="10.77734375" style="12" customWidth="1"/>
    <col min="56" max="56" width="10.77734375" style="22" hidden="1" customWidth="1"/>
    <col min="57" max="57" width="10.77734375" style="20" hidden="1" customWidth="1"/>
    <col min="58" max="58" width="10.77734375" style="12" customWidth="1"/>
    <col min="59" max="61" width="10.77734375" style="12" hidden="1" customWidth="1"/>
    <col min="62" max="63" width="10.77734375" style="26" hidden="1" customWidth="1"/>
    <col min="64" max="64" width="10.77734375" style="24" hidden="1" customWidth="1"/>
    <col min="65" max="65" width="10.77734375" style="14" customWidth="1"/>
    <col min="66" max="66" width="10.77734375" style="29" customWidth="1"/>
    <col min="67" max="67" width="10.77734375" style="29" hidden="1" customWidth="1"/>
    <col min="68" max="70" width="10.77734375" style="27" hidden="1" customWidth="1"/>
    <col min="71" max="71" width="10.77734375" style="29" hidden="1" customWidth="1"/>
    <col min="77" max="78" width="10.77734375" style="3" customWidth="1"/>
    <col min="83" max="83" width="10.6640625" style="7" customWidth="1"/>
    <col min="84" max="84" width="10.6640625" style="3" customWidth="1"/>
    <col min="85" max="88" width="9" style="7"/>
    <col min="89" max="91" width="10.6640625" style="3" customWidth="1"/>
    <col min="92" max="95" width="9" style="7"/>
    <col min="96" max="96" width="10.6640625" style="3" customWidth="1"/>
    <col min="97" max="99" width="10.6640625" style="1" customWidth="1"/>
    <col min="100" max="117" width="9" style="1" customWidth="1"/>
    <col min="118" max="16384" width="9" style="1"/>
  </cols>
  <sheetData>
    <row r="1" spans="2:96" s="10" customFormat="1" ht="20.100000000000001" customHeight="1" x14ac:dyDescent="0.25">
      <c r="B1" s="10" t="s">
        <v>186</v>
      </c>
      <c r="E1" s="11"/>
      <c r="F1" s="17"/>
      <c r="G1" s="15"/>
      <c r="H1" s="10" t="s">
        <v>111</v>
      </c>
      <c r="I1" s="10" t="s">
        <v>110</v>
      </c>
      <c r="J1" s="10" t="s">
        <v>109</v>
      </c>
      <c r="K1" s="10" t="s">
        <v>112</v>
      </c>
      <c r="L1" s="10" t="s">
        <v>113</v>
      </c>
      <c r="M1" s="10" t="s">
        <v>171</v>
      </c>
      <c r="N1" s="10" t="s">
        <v>172</v>
      </c>
      <c r="O1" s="12"/>
      <c r="AE1" s="12"/>
      <c r="AF1" s="12" t="s">
        <v>132</v>
      </c>
      <c r="AG1" s="12"/>
      <c r="AH1" s="12"/>
      <c r="AI1" s="12" t="s">
        <v>133</v>
      </c>
      <c r="AJ1" s="12"/>
      <c r="AK1" s="12"/>
      <c r="AL1" s="12" t="s">
        <v>134</v>
      </c>
      <c r="AM1" s="12"/>
      <c r="AN1" s="12"/>
      <c r="AO1" s="12" t="s">
        <v>135</v>
      </c>
      <c r="AP1" s="12"/>
      <c r="AQ1" s="12"/>
      <c r="AR1" s="12"/>
      <c r="AS1" s="12"/>
      <c r="AT1" s="12"/>
      <c r="AU1" s="12" t="s">
        <v>136</v>
      </c>
      <c r="AV1" s="12"/>
      <c r="AW1" s="12"/>
      <c r="AX1" s="12" t="s">
        <v>137</v>
      </c>
      <c r="AY1" s="12"/>
      <c r="AZ1" s="12"/>
      <c r="BA1" s="24"/>
      <c r="BB1" s="12"/>
      <c r="BC1" s="12"/>
      <c r="BD1" s="22"/>
      <c r="BE1" s="20"/>
      <c r="BF1" s="12"/>
      <c r="BG1" s="12"/>
      <c r="BH1" s="12"/>
      <c r="BI1" s="12"/>
      <c r="BJ1" s="24"/>
      <c r="BK1" s="24"/>
      <c r="BL1" s="24"/>
      <c r="BM1" s="12"/>
      <c r="BN1" s="27"/>
      <c r="BO1" s="27"/>
      <c r="BP1" s="27"/>
      <c r="BQ1" s="27"/>
      <c r="BR1" s="27"/>
      <c r="BS1" s="27"/>
    </row>
    <row r="2" spans="2:96" ht="39.9" customHeight="1" thickBot="1" x14ac:dyDescent="0.3">
      <c r="B2" s="1"/>
      <c r="C2" s="52" t="s">
        <v>187</v>
      </c>
      <c r="D2" s="1"/>
      <c r="E2" s="53" t="s">
        <v>188</v>
      </c>
      <c r="F2" s="18"/>
      <c r="G2" s="16"/>
      <c r="H2" s="4"/>
      <c r="I2" s="3"/>
      <c r="J2" s="4" t="s">
        <v>0</v>
      </c>
      <c r="K2" s="3"/>
      <c r="L2" s="3"/>
      <c r="M2" s="3"/>
      <c r="N2" s="3"/>
      <c r="O2" s="12"/>
      <c r="P2" s="3"/>
      <c r="Q2" s="4"/>
      <c r="R2" s="5"/>
      <c r="S2" s="4"/>
      <c r="T2" s="4"/>
      <c r="U2" s="4"/>
      <c r="V2" s="4"/>
      <c r="W2" s="4"/>
      <c r="X2" s="5"/>
      <c r="Y2" s="5"/>
      <c r="Z2" s="5"/>
      <c r="AA2" s="5"/>
      <c r="AB2" s="5"/>
      <c r="AC2" s="5"/>
      <c r="AD2" s="5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25"/>
      <c r="BB2" s="13"/>
      <c r="BC2" s="13"/>
      <c r="BD2" s="23"/>
      <c r="BE2" s="21"/>
      <c r="BF2" s="13"/>
      <c r="BG2" s="13"/>
      <c r="BH2" s="13"/>
      <c r="BI2" s="13"/>
      <c r="BJ2" s="25"/>
      <c r="BK2" s="25"/>
      <c r="BL2" s="25"/>
      <c r="BM2" s="13"/>
      <c r="BN2" s="28"/>
      <c r="BO2" s="28"/>
      <c r="BP2" s="28"/>
      <c r="BQ2" s="28"/>
      <c r="BR2" s="28"/>
      <c r="BS2" s="28"/>
      <c r="BT2" s="3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</row>
    <row r="3" spans="2:96" s="8" customFormat="1" ht="20.100000000000001" customHeight="1" x14ac:dyDescent="0.25">
      <c r="B3" s="8" t="s">
        <v>1</v>
      </c>
      <c r="C3" s="31" t="s">
        <v>1</v>
      </c>
      <c r="D3" s="32" t="s">
        <v>138</v>
      </c>
      <c r="E3" s="33" t="s">
        <v>2</v>
      </c>
      <c r="F3" s="46" t="s">
        <v>3</v>
      </c>
      <c r="G3" s="34" t="s">
        <v>141</v>
      </c>
      <c r="H3" s="35" t="s">
        <v>4</v>
      </c>
      <c r="I3" s="35" t="s">
        <v>5</v>
      </c>
      <c r="J3" s="35" t="s">
        <v>6</v>
      </c>
      <c r="K3" s="35" t="s">
        <v>104</v>
      </c>
      <c r="L3" s="35" t="s">
        <v>105</v>
      </c>
      <c r="M3" s="35" t="s">
        <v>139</v>
      </c>
      <c r="N3" s="35" t="s">
        <v>145</v>
      </c>
      <c r="O3" s="34" t="s">
        <v>142</v>
      </c>
      <c r="P3" s="36" t="s">
        <v>7</v>
      </c>
      <c r="Q3" s="36" t="s">
        <v>8</v>
      </c>
      <c r="R3" s="36" t="s">
        <v>9</v>
      </c>
      <c r="S3" s="36" t="s">
        <v>106</v>
      </c>
      <c r="T3" s="36" t="s">
        <v>107</v>
      </c>
      <c r="U3" s="36" t="s">
        <v>140</v>
      </c>
      <c r="V3" s="36" t="s">
        <v>146</v>
      </c>
      <c r="W3" s="37" t="s">
        <v>143</v>
      </c>
      <c r="X3" s="36" t="s">
        <v>10</v>
      </c>
      <c r="Y3" s="36" t="s">
        <v>11</v>
      </c>
      <c r="Z3" s="36" t="s">
        <v>12</v>
      </c>
      <c r="AA3" s="36" t="s">
        <v>13</v>
      </c>
      <c r="AB3" s="36" t="s">
        <v>108</v>
      </c>
      <c r="AC3" s="36" t="s">
        <v>119</v>
      </c>
      <c r="AD3" s="36" t="s">
        <v>120</v>
      </c>
      <c r="AE3" s="48" t="s">
        <v>144</v>
      </c>
      <c r="AF3" s="38" t="s">
        <v>125</v>
      </c>
      <c r="AG3" s="38" t="s">
        <v>150</v>
      </c>
      <c r="AH3" s="38" t="s">
        <v>151</v>
      </c>
      <c r="AI3" s="38" t="s">
        <v>126</v>
      </c>
      <c r="AJ3" s="38" t="s">
        <v>153</v>
      </c>
      <c r="AK3" s="38" t="s">
        <v>152</v>
      </c>
      <c r="AL3" s="38" t="s">
        <v>127</v>
      </c>
      <c r="AM3" s="38" t="s">
        <v>155</v>
      </c>
      <c r="AN3" s="38" t="s">
        <v>154</v>
      </c>
      <c r="AO3" s="38" t="s">
        <v>128</v>
      </c>
      <c r="AP3" s="38" t="s">
        <v>157</v>
      </c>
      <c r="AQ3" s="38" t="s">
        <v>156</v>
      </c>
      <c r="AR3" s="38" t="s">
        <v>178</v>
      </c>
      <c r="AS3" s="38" t="s">
        <v>179</v>
      </c>
      <c r="AT3" s="38" t="s">
        <v>177</v>
      </c>
      <c r="AU3" s="38" t="s">
        <v>129</v>
      </c>
      <c r="AV3" s="38" t="s">
        <v>158</v>
      </c>
      <c r="AW3" s="38" t="s">
        <v>159</v>
      </c>
      <c r="AX3" s="38" t="s">
        <v>130</v>
      </c>
      <c r="AY3" s="38" t="s">
        <v>161</v>
      </c>
      <c r="AZ3" s="38" t="s">
        <v>160</v>
      </c>
      <c r="BA3" s="39" t="s">
        <v>131</v>
      </c>
      <c r="BB3" s="38" t="s">
        <v>162</v>
      </c>
      <c r="BC3" s="49" t="s">
        <v>163</v>
      </c>
      <c r="BD3" s="40" t="s">
        <v>164</v>
      </c>
      <c r="BE3" s="41" t="s">
        <v>165</v>
      </c>
      <c r="BF3" s="34" t="s">
        <v>166</v>
      </c>
      <c r="BG3" s="38" t="s">
        <v>167</v>
      </c>
      <c r="BH3" s="38" t="s">
        <v>168</v>
      </c>
      <c r="BI3" s="38" t="s">
        <v>169</v>
      </c>
      <c r="BJ3" s="39" t="s">
        <v>184</v>
      </c>
      <c r="BK3" s="42" t="s">
        <v>185</v>
      </c>
      <c r="BL3" s="39" t="s">
        <v>170</v>
      </c>
      <c r="BM3" s="34" t="s">
        <v>183</v>
      </c>
      <c r="BN3" s="43" t="s">
        <v>173</v>
      </c>
      <c r="BO3" s="30" t="s">
        <v>175</v>
      </c>
      <c r="BP3" s="30" t="s">
        <v>174</v>
      </c>
      <c r="BQ3" s="30" t="s">
        <v>182</v>
      </c>
      <c r="BR3" s="30" t="s">
        <v>181</v>
      </c>
      <c r="BS3" s="30" t="s">
        <v>180</v>
      </c>
      <c r="BT3" s="9"/>
    </row>
    <row r="4" spans="2:96" s="8" customFormat="1" ht="20.100000000000001" hidden="1" customHeight="1" x14ac:dyDescent="0.25">
      <c r="B4" s="1">
        <v>-3</v>
      </c>
      <c r="C4" s="44">
        <v>-3</v>
      </c>
      <c r="D4" s="1" t="str">
        <f t="shared" ref="D4:D5" si="0">IF(C4&lt;B4,"▲"&amp;B4-C4,IF(C4&gt;B4,"▼"&amp;C4-B4,"—"))</f>
        <v>—</v>
      </c>
      <c r="E4" s="2" t="s">
        <v>149</v>
      </c>
      <c r="F4" s="47">
        <f>F5+1</f>
        <v>45613.064775630861</v>
      </c>
      <c r="G4" s="3">
        <f>IFERROR(G6/G5/$B$1,0)</f>
        <v>48.655813953488369</v>
      </c>
      <c r="H4" s="3">
        <f>IFERROR(H6/H5,0)</f>
        <v>44.75</v>
      </c>
      <c r="I4" s="3">
        <f>IFERROR(I6/I5,0)</f>
        <v>49.654320987654323</v>
      </c>
      <c r="J4" s="3">
        <f>IFERROR(J6/J5,0)</f>
        <v>48.202380952380949</v>
      </c>
      <c r="K4" s="3">
        <f>IFERROR(K6/K5,0)</f>
        <v>58.385542168674696</v>
      </c>
      <c r="L4" s="3">
        <f>IFERROR(L6/L5,0)</f>
        <v>44.772727272727273</v>
      </c>
      <c r="M4" s="3"/>
      <c r="N4" s="3"/>
      <c r="O4" s="3">
        <f>IFERROR(5*O6/O5/$B$1,0)</f>
        <v>40.206130268199239</v>
      </c>
      <c r="P4" s="3">
        <f>IFERROR(P6/P5,0)</f>
        <v>44.820512820512818</v>
      </c>
      <c r="Q4" s="3">
        <f>IFERROR(Q6/Q5,0)</f>
        <v>36.475609756097562</v>
      </c>
      <c r="R4" s="3">
        <f>IFERROR(R6/R5,0)</f>
        <v>42.493975903614455</v>
      </c>
      <c r="S4" s="3">
        <f>IFERROR(S6/S5,0)</f>
        <v>41.71764705882353</v>
      </c>
      <c r="T4" s="3">
        <f>IFERROR(T6/T5,0)</f>
        <v>39.852272727272727</v>
      </c>
      <c r="U4" s="3"/>
      <c r="V4" s="3"/>
      <c r="W4" s="3">
        <f>IFERROR(W6/W5,0)</f>
        <v>46.263736263736263</v>
      </c>
      <c r="X4" s="3"/>
      <c r="Y4" s="3"/>
      <c r="Z4" s="3"/>
      <c r="AA4" s="3"/>
      <c r="AB4" s="3"/>
      <c r="AC4" s="3"/>
      <c r="AD4" s="3"/>
      <c r="AE4" s="50">
        <f t="shared" ref="AE4:AN4" si="1">IFERROR(AE6/AE5,0)</f>
        <v>107.1428571428572</v>
      </c>
      <c r="AF4" s="12">
        <f t="shared" si="1"/>
        <v>3.2909090909090919</v>
      </c>
      <c r="AG4" s="12">
        <f t="shared" si="1"/>
        <v>1.6974956973231676</v>
      </c>
      <c r="AH4" s="12">
        <f t="shared" si="1"/>
        <v>45.45454545454546</v>
      </c>
      <c r="AI4" s="12">
        <f t="shared" si="1"/>
        <v>1.22</v>
      </c>
      <c r="AJ4" s="12">
        <f t="shared" si="1"/>
        <v>0.96593522108899532</v>
      </c>
      <c r="AK4" s="12">
        <f t="shared" si="1"/>
        <v>28.571428571428577</v>
      </c>
      <c r="AL4" s="12">
        <f t="shared" si="1"/>
        <v>2.080000000000001</v>
      </c>
      <c r="AM4" s="12">
        <f t="shared" si="1"/>
        <v>1.2350518438109817</v>
      </c>
      <c r="AN4" s="12">
        <f t="shared" si="1"/>
        <v>50.000000000000014</v>
      </c>
      <c r="AO4" s="12"/>
      <c r="AP4" s="12">
        <f>IFERROR(AP6/AP5,0)</f>
        <v>1.1328739990447432</v>
      </c>
      <c r="AQ4" s="12">
        <f>IFERROR(AQ6/AQ5,0)</f>
        <v>76.92307692307692</v>
      </c>
      <c r="AR4" s="12"/>
      <c r="AS4" s="12">
        <f>IFERROR(AS6/AS5,0)</f>
        <v>0.59912368534711424</v>
      </c>
      <c r="AT4" s="12">
        <f>IFERROR(AT6/AT5,0)</f>
        <v>33.333333333333343</v>
      </c>
      <c r="AU4" s="12"/>
      <c r="AV4" s="12"/>
      <c r="AW4" s="12"/>
      <c r="AX4" s="12"/>
      <c r="AY4" s="12"/>
      <c r="AZ4" s="12"/>
      <c r="BA4" s="22"/>
      <c r="BB4" s="12">
        <f>IFERROR(BB6/BB5,0)</f>
        <v>7.6154902075441715</v>
      </c>
      <c r="BC4" s="51">
        <f>IFERROR(BC6/BC5,0)</f>
        <v>25.641025641025628</v>
      </c>
      <c r="BD4" s="22">
        <f>IFERROR(BD6/BD5,0)</f>
        <v>0.24369047619047621</v>
      </c>
      <c r="BE4" s="20">
        <f>IFERROR(BE6/BE5,0)</f>
        <v>0.40150344460687681</v>
      </c>
      <c r="BF4" s="12">
        <f>IFERROR(BF6/BF5,0)</f>
        <v>119.04761904761905</v>
      </c>
      <c r="BG4" s="12"/>
      <c r="BH4" s="12"/>
      <c r="BI4" s="12"/>
      <c r="BJ4" s="24"/>
      <c r="BK4" s="24"/>
      <c r="BL4" s="24">
        <f>IFERROR(BL6/BL5,0)</f>
        <v>8.5070422535211261</v>
      </c>
      <c r="BM4" s="24">
        <f>IFERROR(BM6/BM5,0)</f>
        <v>28.169014084507044</v>
      </c>
      <c r="BN4" s="45"/>
      <c r="BO4" s="27"/>
      <c r="BP4" s="27"/>
      <c r="BQ4" s="27"/>
      <c r="BR4" s="27"/>
      <c r="BS4" s="27"/>
      <c r="BT4" s="9"/>
    </row>
    <row r="5" spans="2:96" s="8" customFormat="1" ht="20.100000000000001" hidden="1" customHeight="1" x14ac:dyDescent="0.25">
      <c r="B5" s="1">
        <v>-2</v>
      </c>
      <c r="C5" s="44">
        <v>-2</v>
      </c>
      <c r="D5" s="1" t="str">
        <f t="shared" si="0"/>
        <v>—</v>
      </c>
      <c r="E5" s="2" t="s">
        <v>148</v>
      </c>
      <c r="F5" s="47">
        <f>F6+1</f>
        <v>45612.064775630861</v>
      </c>
      <c r="G5" s="3">
        <f t="shared" ref="G5:L5" si="2">COUNTIF(G7:G113,"&gt;0")</f>
        <v>86</v>
      </c>
      <c r="H5" s="3">
        <f t="shared" si="2"/>
        <v>80</v>
      </c>
      <c r="I5" s="3">
        <f t="shared" si="2"/>
        <v>81</v>
      </c>
      <c r="J5" s="3">
        <f t="shared" si="2"/>
        <v>84</v>
      </c>
      <c r="K5" s="3">
        <f t="shared" si="2"/>
        <v>83</v>
      </c>
      <c r="L5" s="3">
        <f t="shared" si="2"/>
        <v>88</v>
      </c>
      <c r="M5" s="3"/>
      <c r="N5" s="3"/>
      <c r="O5" s="3">
        <f t="shared" ref="O5:T5" si="3">COUNTIF(O7:O113,"&gt;0")</f>
        <v>87</v>
      </c>
      <c r="P5" s="3">
        <f t="shared" si="3"/>
        <v>78</v>
      </c>
      <c r="Q5" s="3">
        <f t="shared" si="3"/>
        <v>82</v>
      </c>
      <c r="R5" s="3">
        <f t="shared" si="3"/>
        <v>83</v>
      </c>
      <c r="S5" s="3">
        <f t="shared" si="3"/>
        <v>85</v>
      </c>
      <c r="T5" s="3">
        <f t="shared" si="3"/>
        <v>88</v>
      </c>
      <c r="U5" s="3"/>
      <c r="V5" s="3"/>
      <c r="W5" s="3">
        <f>COUNTIF(W7:W113,"&gt;0")</f>
        <v>91</v>
      </c>
      <c r="X5" s="3"/>
      <c r="Y5" s="3"/>
      <c r="Z5" s="3"/>
      <c r="AA5" s="3"/>
      <c r="AB5" s="3"/>
      <c r="AC5" s="3"/>
      <c r="AD5" s="3"/>
      <c r="AE5" s="50">
        <f t="shared" ref="AE5:AN5" si="4">COUNTIF(AE7:AE113,"&gt;0")</f>
        <v>56</v>
      </c>
      <c r="AF5" s="12">
        <f t="shared" si="4"/>
        <v>22</v>
      </c>
      <c r="AG5" s="12">
        <f t="shared" si="4"/>
        <v>22</v>
      </c>
      <c r="AH5" s="12">
        <f t="shared" si="4"/>
        <v>22</v>
      </c>
      <c r="AI5" s="12">
        <f t="shared" si="4"/>
        <v>35</v>
      </c>
      <c r="AJ5" s="12">
        <f t="shared" si="4"/>
        <v>35</v>
      </c>
      <c r="AK5" s="12">
        <f t="shared" si="4"/>
        <v>35</v>
      </c>
      <c r="AL5" s="12">
        <f t="shared" si="4"/>
        <v>20</v>
      </c>
      <c r="AM5" s="12">
        <f t="shared" si="4"/>
        <v>20</v>
      </c>
      <c r="AN5" s="12">
        <f t="shared" si="4"/>
        <v>20</v>
      </c>
      <c r="AO5" s="12"/>
      <c r="AP5" s="12">
        <f>COUNTIF(AP7:AP113,"&gt;0")</f>
        <v>13</v>
      </c>
      <c r="AQ5" s="12">
        <f>COUNTIF(AQ7:AQ113,"&gt;0")</f>
        <v>13</v>
      </c>
      <c r="AR5" s="12"/>
      <c r="AS5" s="12">
        <f>COUNTIF(AS7:AS113,"&gt;0")</f>
        <v>30</v>
      </c>
      <c r="AT5" s="12">
        <f>COUNTIF(AT7:AT113,"&gt;0")</f>
        <v>30</v>
      </c>
      <c r="AU5" s="12"/>
      <c r="AV5" s="12"/>
      <c r="AW5" s="12"/>
      <c r="AX5" s="12"/>
      <c r="AY5" s="12"/>
      <c r="AZ5" s="12"/>
      <c r="BA5" s="22"/>
      <c r="BB5" s="12">
        <f>COUNTIF(BB7:BB113,"&gt;0")</f>
        <v>39</v>
      </c>
      <c r="BC5" s="51">
        <f>COUNTIF(BC7:BC113,"&gt;0")</f>
        <v>39</v>
      </c>
      <c r="BD5" s="22">
        <f>COUNTIF(BD7:BD113,"&gt;0")</f>
        <v>84</v>
      </c>
      <c r="BE5" s="20">
        <f>COUNTIF(BE7:BE113,"&gt;0")</f>
        <v>84</v>
      </c>
      <c r="BF5" s="12">
        <f>COUNTIF(BF7:BF113,"&gt;0")</f>
        <v>84</v>
      </c>
      <c r="BG5" s="12"/>
      <c r="BH5" s="12"/>
      <c r="BI5" s="12"/>
      <c r="BJ5" s="24"/>
      <c r="BK5" s="24"/>
      <c r="BL5" s="24">
        <f>COUNTIF(BL7:BL113,"&gt;0")</f>
        <v>71</v>
      </c>
      <c r="BM5" s="24">
        <f>COUNTIF(BM7:BM113,"&gt;0")</f>
        <v>71</v>
      </c>
      <c r="BN5" s="45"/>
      <c r="BO5" s="27"/>
      <c r="BP5" s="27"/>
      <c r="BQ5" s="27"/>
      <c r="BR5" s="27"/>
      <c r="BS5" s="27"/>
      <c r="BT5" s="9"/>
    </row>
    <row r="6" spans="2:96" s="8" customFormat="1" ht="20.100000000000001" hidden="1" customHeight="1" x14ac:dyDescent="0.25">
      <c r="B6" s="1">
        <v>-1</v>
      </c>
      <c r="C6" s="44">
        <v>-1</v>
      </c>
      <c r="D6" s="1" t="str">
        <f t="shared" ref="D6:D37" si="5">IF(C6&lt;B6,"▲"&amp;B6-C6,IF(C6&gt;B6,"▼"&amp;C6-B6,"—"))</f>
        <v>—</v>
      </c>
      <c r="E6" s="2" t="s">
        <v>147</v>
      </c>
      <c r="F6" s="47">
        <f t="shared" ref="F6:L6" si="6">SUMIF(F7:F113,"&gt;0")</f>
        <v>45611.064775630861</v>
      </c>
      <c r="G6" s="3">
        <f t="shared" si="6"/>
        <v>25106.399999999998</v>
      </c>
      <c r="H6" s="3">
        <f t="shared" si="6"/>
        <v>3580</v>
      </c>
      <c r="I6" s="3">
        <f t="shared" si="6"/>
        <v>4022</v>
      </c>
      <c r="J6" s="3">
        <f t="shared" si="6"/>
        <v>4049</v>
      </c>
      <c r="K6" s="3">
        <f t="shared" si="6"/>
        <v>4846</v>
      </c>
      <c r="L6" s="3">
        <f t="shared" si="6"/>
        <v>3940</v>
      </c>
      <c r="M6" s="3"/>
      <c r="N6" s="3"/>
      <c r="O6" s="3">
        <f t="shared" ref="O6:T6" si="7">SUMIF(O7:O113,"&gt;0")</f>
        <v>4197.5200000000004</v>
      </c>
      <c r="P6" s="3">
        <f t="shared" si="7"/>
        <v>3496</v>
      </c>
      <c r="Q6" s="3">
        <f t="shared" si="7"/>
        <v>2991</v>
      </c>
      <c r="R6" s="3">
        <f t="shared" si="7"/>
        <v>3527</v>
      </c>
      <c r="S6" s="3">
        <f t="shared" si="7"/>
        <v>3546</v>
      </c>
      <c r="T6" s="3">
        <f t="shared" si="7"/>
        <v>3507</v>
      </c>
      <c r="U6" s="3"/>
      <c r="V6" s="3"/>
      <c r="W6" s="3">
        <f>SUMIF(W7:W113,"&gt;0")</f>
        <v>4210</v>
      </c>
      <c r="X6" s="3"/>
      <c r="Y6" s="3"/>
      <c r="Z6" s="3"/>
      <c r="AA6" s="3"/>
      <c r="AB6" s="3"/>
      <c r="AC6" s="3"/>
      <c r="AD6" s="3"/>
      <c r="AE6" s="50">
        <f t="shared" ref="AE6:AN6" si="8">SUMIF(AE7:AE113,"&gt;0")</f>
        <v>6000.0000000000027</v>
      </c>
      <c r="AF6" s="12">
        <f t="shared" si="8"/>
        <v>72.40000000000002</v>
      </c>
      <c r="AG6" s="12">
        <f t="shared" si="8"/>
        <v>37.344905341109687</v>
      </c>
      <c r="AH6" s="12">
        <f t="shared" si="8"/>
        <v>1000.0000000000001</v>
      </c>
      <c r="AI6" s="12">
        <f t="shared" si="8"/>
        <v>42.7</v>
      </c>
      <c r="AJ6" s="12">
        <f t="shared" si="8"/>
        <v>33.807732738114836</v>
      </c>
      <c r="AK6" s="12">
        <f t="shared" si="8"/>
        <v>1000.0000000000002</v>
      </c>
      <c r="AL6" s="12">
        <f t="shared" si="8"/>
        <v>41.600000000000016</v>
      </c>
      <c r="AM6" s="12">
        <f t="shared" si="8"/>
        <v>24.701036876219632</v>
      </c>
      <c r="AN6" s="12">
        <f t="shared" si="8"/>
        <v>1000.0000000000003</v>
      </c>
      <c r="AO6" s="12"/>
      <c r="AP6" s="12">
        <f>SUMIF(AP7:AP113,"&gt;0")</f>
        <v>14.727361987581661</v>
      </c>
      <c r="AQ6" s="12">
        <f>SUMIF(AQ7:AQ113,"&gt;0")</f>
        <v>1000</v>
      </c>
      <c r="AR6" s="12"/>
      <c r="AS6" s="12">
        <f>SUMIF(AS7:AS113,"&gt;0")</f>
        <v>17.973710560413426</v>
      </c>
      <c r="AT6" s="12">
        <f>SUMIF(AT7:AT113,"&gt;0")</f>
        <v>1000.0000000000002</v>
      </c>
      <c r="AU6" s="12"/>
      <c r="AV6" s="12"/>
      <c r="AW6" s="12"/>
      <c r="AX6" s="12"/>
      <c r="AY6" s="12"/>
      <c r="AZ6" s="12"/>
      <c r="BA6" s="22"/>
      <c r="BB6" s="12">
        <f>SUMIF(BB7:BB113,"&gt;0")</f>
        <v>297.00411809422269</v>
      </c>
      <c r="BC6" s="51">
        <f>SUMIF(BC7:BC113,"&gt;0")</f>
        <v>999.99999999999955</v>
      </c>
      <c r="BD6" s="22">
        <f>SUMIF(BD7:BD113,"&gt;0")</f>
        <v>20.470000000000002</v>
      </c>
      <c r="BE6" s="20">
        <f>SUMIF(BE7:BE113,"&gt;0")</f>
        <v>33.726289346977651</v>
      </c>
      <c r="BF6" s="12">
        <f>SUMIF(BF7:BF113,"&gt;0")</f>
        <v>10000</v>
      </c>
      <c r="BG6" s="12"/>
      <c r="BH6" s="12"/>
      <c r="BI6" s="12"/>
      <c r="BJ6" s="24"/>
      <c r="BK6" s="24"/>
      <c r="BL6" s="24">
        <f>SUMIF(BL7:BL113,"&gt;0")</f>
        <v>604</v>
      </c>
      <c r="BM6" s="24">
        <f>SUMIF(BM7:BM113,"&gt;0")</f>
        <v>2000.0000000000002</v>
      </c>
      <c r="BN6" s="27">
        <f>SUM(BN7:BN113)</f>
        <v>-11500</v>
      </c>
      <c r="BO6" s="27"/>
      <c r="BP6" s="27"/>
      <c r="BQ6" s="27"/>
      <c r="BR6" s="27"/>
      <c r="BS6" s="27"/>
      <c r="BT6" s="9"/>
    </row>
    <row r="7" spans="2:96" ht="20.100000000000001" customHeight="1" x14ac:dyDescent="0.25">
      <c r="B7" s="1">
        <v>1</v>
      </c>
      <c r="C7" s="44">
        <v>1</v>
      </c>
      <c r="D7" s="1" t="str">
        <f t="shared" si="5"/>
        <v>—</v>
      </c>
      <c r="E7" s="2" t="s">
        <v>22</v>
      </c>
      <c r="F7" s="47">
        <f t="shared" ref="F7:F38" si="9">G7+O7+W7+AE7+BF7+BM7+BN7</f>
        <v>1583.4375549871284</v>
      </c>
      <c r="G7" s="15">
        <f>IF(COUNTIF(H7:INDEX(H7:N7,$B$1),"&gt;0")=0,0,
(SUMIF(H7:INDEX(H7:N7,$B$1),"&gt;0",H7:INDEX(H7:N7,$B$1))*$B$1/COUNTIF(H7:INDEX(H7:N7,$B$1),"&gt;0"))*
IF($B$1-COUNTIF(H7:INDEX(H7:N7,$B$1),"&gt;0")&lt;=2,1,
IF($B$1-COUNTIF(H7:INDEX(H7:N7,$B$1),"&gt;0")=3,0.8,
IF($B$1-COUNTIF(H7:INDEX(H7:N7,$B$1),"&gt;0")=4,0.6,0))))</f>
        <v>598</v>
      </c>
      <c r="H7" s="3">
        <v>70</v>
      </c>
      <c r="I7" s="3">
        <v>69</v>
      </c>
      <c r="J7" s="3">
        <v>86</v>
      </c>
      <c r="K7" s="3">
        <v>143</v>
      </c>
      <c r="L7" s="3">
        <v>145</v>
      </c>
      <c r="M7" s="3">
        <v>85</v>
      </c>
      <c r="N7" s="3"/>
      <c r="O7" s="12">
        <f>0.2*IF(COUNTIF(P7:INDEX(P7:V7,$B$1),"&gt;0")=0,0,
(SUMIF(P7:INDEX(P7:V7,$B$1),"&gt;0",P7:INDEX(P7:V7,$B$1))*$B$1/COUNTIF(P7:INDEX(P7:V7,$B$1),"&gt;0"))*
IF($B$1-COUNTIF(P7:INDEX(P7:V7,$B$1),"&gt;0")&lt;=2,1,
IF($B$1-COUNTIF(P7:INDEX(P7:V7,$B$1),"&gt;0")=3,0.8,
IF($B$1-COUNTIF(P7:INDEX(P7:V7,$B$1),"&gt;0")=4,0.6,0))))</f>
        <v>65.600000000000009</v>
      </c>
      <c r="P7" s="3">
        <v>56</v>
      </c>
      <c r="Q7" s="3">
        <v>50</v>
      </c>
      <c r="R7" s="3">
        <v>53</v>
      </c>
      <c r="S7" s="3">
        <v>57</v>
      </c>
      <c r="T7" s="3">
        <v>55</v>
      </c>
      <c r="U7" s="3">
        <v>57</v>
      </c>
      <c r="W7" s="3">
        <f t="shared" ref="W7:W38" si="10">MIN(100,
IF($B$1&gt;=1,IFERROR(VALUE(SUBSTITUTE(SUBSTITUTE(TRIM(X7),"A",""),"B","")),0),0)+
IF($B$1&gt;=2,IFERROR(VALUE(SUBSTITUTE(SUBSTITUTE(TRIM(Y7),"A",""),"B","")),0),0)+
IF($B$1&gt;=3,IFERROR(VALUE(SUBSTITUTE(SUBSTITUTE(TRIM(Z7),"A",""),"B","")),0),0)+
IF($B$1&gt;=4,IFERROR(VALUE(SUBSTITUTE(SUBSTITUTE(TRIM(AA7),"A",""),"B","")),0),0)+
IF($B$1&gt;=5,IFERROR(VALUE(SUBSTITUTE(SUBSTITUTE(TRIM(AB7),"A",""),"B","")),0),0)+
IF($B$1&gt;=6,IFERROR(VALUE(SUBSTITUTE(SUBSTITUTE(TRIM(AC7),"A",""),"B","")),0),0)+
IF($B$1&gt;=7,IFERROR(VALUE(SUBSTITUTE(SUBSTITUTE(TRIM(AD7),"A",""),"B","")),0),0)
)</f>
        <v>100</v>
      </c>
      <c r="X7" s="3" t="s">
        <v>15</v>
      </c>
      <c r="Y7" s="3" t="s">
        <v>15</v>
      </c>
      <c r="Z7" s="3" t="s">
        <v>15</v>
      </c>
      <c r="AA7" s="3" t="s">
        <v>121</v>
      </c>
      <c r="AB7" s="3" t="s">
        <v>121</v>
      </c>
      <c r="AC7" s="3" t="s">
        <v>176</v>
      </c>
      <c r="AE7" s="50">
        <f t="shared" ref="AE7:AE38" si="11">AH7+AK7+AN7+AQ7+AT7+AW7+AZ7+BC7</f>
        <v>424.38786663427834</v>
      </c>
      <c r="AF7" s="12">
        <v>11.1</v>
      </c>
      <c r="AG7" s="12">
        <f t="shared" ref="AG7:AG38" si="12">SQRT(AF7)</f>
        <v>3.3316662497915361</v>
      </c>
      <c r="AH7" s="12">
        <f t="shared" ref="AH7:AH38" si="13">IF(AG7&gt;0,AG7/AG$6*1000, 0)</f>
        <v>89.21340727362886</v>
      </c>
      <c r="AI7" s="12">
        <v>2.7</v>
      </c>
      <c r="AJ7" s="12">
        <f t="shared" ref="AJ7:AJ38" si="14">SQRT(AI7)</f>
        <v>1.6431676725154984</v>
      </c>
      <c r="AK7" s="12">
        <f t="shared" ref="AK7:AK38" si="15">IF(AJ7&gt;0,AJ7/AJ$6*1000, 0)</f>
        <v>48.603308753177387</v>
      </c>
      <c r="AL7" s="12">
        <v>6.3</v>
      </c>
      <c r="AM7" s="12">
        <f t="shared" ref="AM7:AM38" si="16">SQRT(AL7)</f>
        <v>2.5099800796022267</v>
      </c>
      <c r="AN7" s="12">
        <f t="shared" ref="AN7:AN38" si="17">IF(AM7&gt;0,AM7/AM$6*1000, 0)</f>
        <v>101.61436105618115</v>
      </c>
      <c r="AO7" s="12">
        <v>0.9</v>
      </c>
      <c r="AP7" s="12">
        <f t="shared" ref="AP7:AP38" si="18">SQRT(AO7)</f>
        <v>0.94868329805051377</v>
      </c>
      <c r="AQ7" s="12">
        <f t="shared" ref="AQ7:AQ38" si="19">IF(AP7&gt;0,AP7/AP$6*1000, 0)</f>
        <v>64.416376731315367</v>
      </c>
      <c r="AR7" s="12">
        <v>0.9</v>
      </c>
      <c r="AS7" s="12">
        <f t="shared" ref="AS7:AS38" si="20">SQRT(AR7)</f>
        <v>0.94868329805051377</v>
      </c>
      <c r="AT7" s="12">
        <f t="shared" ref="AT7:AT38" si="21">IF(AS7&gt;0,AS7/AS$6*1000, 0)</f>
        <v>52.781716655656012</v>
      </c>
      <c r="BA7" s="24">
        <v>405</v>
      </c>
      <c r="BB7" s="12">
        <f t="shared" ref="BB7:BB38" si="22">SQRT(BA7)</f>
        <v>20.124611797498108</v>
      </c>
      <c r="BC7" s="51">
        <f t="shared" ref="BC7:BC38" si="23">IF(BB7&gt;0,BB7/BB$6*1000, 0)</f>
        <v>67.758696164319517</v>
      </c>
      <c r="BD7" s="22">
        <v>1.36</v>
      </c>
      <c r="BE7" s="20">
        <f t="shared" ref="BE7:BE38" si="24">SQRT(BD7)</f>
        <v>1.1661903789690602</v>
      </c>
      <c r="BF7" s="12">
        <f t="shared" ref="BF7:BF38" si="25">IF(BE7&gt;0, BE7/BE$6*10000, 0)</f>
        <v>345.78081418066444</v>
      </c>
      <c r="BJ7" s="24"/>
      <c r="BK7" s="24"/>
      <c r="BL7" s="24">
        <v>15</v>
      </c>
      <c r="BM7" s="12">
        <f t="shared" ref="BM7:BM38" si="26">IF(BL7&gt;0, BL7/BL$6*2000, 0)</f>
        <v>49.668874172185426</v>
      </c>
      <c r="BN7" s="45">
        <f t="shared" ref="BN7:BN38" si="27">BO7+BP7</f>
        <v>0</v>
      </c>
      <c r="BO7" s="27">
        <v>0</v>
      </c>
      <c r="BP7" s="27">
        <v>0</v>
      </c>
      <c r="BS7" s="27"/>
      <c r="BT7" s="3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</row>
    <row r="8" spans="2:96" ht="20.100000000000001" customHeight="1" x14ac:dyDescent="0.25">
      <c r="B8" s="1">
        <v>2</v>
      </c>
      <c r="C8" s="44">
        <v>2</v>
      </c>
      <c r="D8" s="1" t="str">
        <f t="shared" si="5"/>
        <v>—</v>
      </c>
      <c r="E8" s="2" t="s">
        <v>36</v>
      </c>
      <c r="F8" s="47">
        <f t="shared" si="9"/>
        <v>1583.2765809008745</v>
      </c>
      <c r="G8" s="15">
        <f>IF(COUNTIF(H8:INDEX(H8:N8,$B$1),"&gt;0")=0,0,
(SUMIF(H8:INDEX(H8:N8,$B$1),"&gt;0",H8:INDEX(H8:N8,$B$1))*$B$1/COUNTIF(H8:INDEX(H8:N8,$B$1),"&gt;0"))*
IF($B$1-COUNTIF(H8:INDEX(H8:N8,$B$1),"&gt;0")&lt;=2,1,
IF($B$1-COUNTIF(H8:INDEX(H8:N8,$B$1),"&gt;0")=3,0.8,
IF($B$1-COUNTIF(H8:INDEX(H8:N8,$B$1),"&gt;0")=4,0.6,0))))</f>
        <v>574</v>
      </c>
      <c r="H8" s="3">
        <v>48</v>
      </c>
      <c r="I8" s="3">
        <v>60</v>
      </c>
      <c r="J8" s="3">
        <v>70</v>
      </c>
      <c r="K8" s="3">
        <v>243</v>
      </c>
      <c r="L8" s="3">
        <v>88</v>
      </c>
      <c r="M8" s="3">
        <v>65</v>
      </c>
      <c r="N8" s="3"/>
      <c r="O8" s="12">
        <f>0.2*IF(COUNTIF(P8:INDEX(P8:V8,$B$1),"&gt;0")=0,0,
(SUMIF(P8:INDEX(P8:V8,$B$1),"&gt;0",P8:INDEX(P8:V8,$B$1))*$B$1/COUNTIF(P8:INDEX(P8:V8,$B$1),"&gt;0"))*
IF($B$1-COUNTIF(P8:INDEX(P8:V8,$B$1),"&gt;0")&lt;=2,1,
IF($B$1-COUNTIF(P8:INDEX(P8:V8,$B$1),"&gt;0")=3,0.8,
IF($B$1-COUNTIF(P8:INDEX(P8:V8,$B$1),"&gt;0")=4,0.6,0))))</f>
        <v>63</v>
      </c>
      <c r="P8" s="3">
        <v>56</v>
      </c>
      <c r="Q8" s="3">
        <v>48</v>
      </c>
      <c r="R8" s="3">
        <v>55</v>
      </c>
      <c r="S8" s="3">
        <v>51</v>
      </c>
      <c r="T8" s="3">
        <v>54</v>
      </c>
      <c r="U8" s="3">
        <v>51</v>
      </c>
      <c r="W8" s="3">
        <f t="shared" si="10"/>
        <v>100</v>
      </c>
      <c r="X8" s="3" t="s">
        <v>15</v>
      </c>
      <c r="Y8" s="3" t="s">
        <v>15</v>
      </c>
      <c r="Z8" s="3" t="s">
        <v>15</v>
      </c>
      <c r="AA8" s="3" t="s">
        <v>121</v>
      </c>
      <c r="AB8" s="3" t="s">
        <v>123</v>
      </c>
      <c r="AC8" s="3" t="s">
        <v>176</v>
      </c>
      <c r="AE8" s="50">
        <f t="shared" si="11"/>
        <v>405.56636951750829</v>
      </c>
      <c r="AF8" s="12">
        <v>5.9</v>
      </c>
      <c r="AG8" s="12">
        <f t="shared" si="12"/>
        <v>2.4289915602982237</v>
      </c>
      <c r="AH8" s="12">
        <f t="shared" si="13"/>
        <v>65.042113190855048</v>
      </c>
      <c r="AI8" s="12">
        <v>3.6</v>
      </c>
      <c r="AJ8" s="12">
        <f t="shared" si="14"/>
        <v>1.8973665961010275</v>
      </c>
      <c r="AK8" s="12">
        <f t="shared" si="15"/>
        <v>56.122266784306909</v>
      </c>
      <c r="AL8" s="12">
        <v>2</v>
      </c>
      <c r="AM8" s="12">
        <f t="shared" si="16"/>
        <v>1.4142135623730951</v>
      </c>
      <c r="AN8" s="12">
        <f t="shared" si="17"/>
        <v>57.253206392100793</v>
      </c>
      <c r="AO8" s="12">
        <v>2.2000000000000002</v>
      </c>
      <c r="AP8" s="12">
        <f t="shared" si="18"/>
        <v>1.4832396974191326</v>
      </c>
      <c r="AQ8" s="12">
        <f t="shared" si="19"/>
        <v>100.71319620376163</v>
      </c>
      <c r="AR8" s="12">
        <v>1.4</v>
      </c>
      <c r="AS8" s="12">
        <f t="shared" si="20"/>
        <v>1.1832159566199232</v>
      </c>
      <c r="AT8" s="12">
        <f t="shared" si="21"/>
        <v>65.830366670414833</v>
      </c>
      <c r="BA8" s="24">
        <v>324</v>
      </c>
      <c r="BB8" s="12">
        <f t="shared" si="22"/>
        <v>18</v>
      </c>
      <c r="BC8" s="51">
        <f t="shared" si="23"/>
        <v>60.605220276069076</v>
      </c>
      <c r="BD8" s="22">
        <v>1.71</v>
      </c>
      <c r="BE8" s="20">
        <f t="shared" si="24"/>
        <v>1.3076696830622021</v>
      </c>
      <c r="BF8" s="12">
        <f t="shared" si="25"/>
        <v>387.73007893303497</v>
      </c>
      <c r="BJ8" s="24"/>
      <c r="BK8" s="24"/>
      <c r="BL8" s="24">
        <v>16</v>
      </c>
      <c r="BM8" s="12">
        <f t="shared" si="26"/>
        <v>52.980132450331126</v>
      </c>
      <c r="BN8" s="45">
        <f t="shared" si="27"/>
        <v>0</v>
      </c>
      <c r="BO8" s="27">
        <v>0</v>
      </c>
      <c r="BP8" s="27">
        <v>0</v>
      </c>
      <c r="BS8" s="27"/>
      <c r="BT8" s="3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</row>
    <row r="9" spans="2:96" ht="20.100000000000001" customHeight="1" x14ac:dyDescent="0.25">
      <c r="B9" s="1">
        <v>8</v>
      </c>
      <c r="C9" s="44">
        <v>3</v>
      </c>
      <c r="D9" s="1" t="str">
        <f t="shared" si="5"/>
        <v>▲5</v>
      </c>
      <c r="E9" s="2" t="s">
        <v>27</v>
      </c>
      <c r="F9" s="47">
        <f t="shared" si="9"/>
        <v>1553.1987478686838</v>
      </c>
      <c r="G9" s="15">
        <f>IF(COUNTIF(H9:INDEX(H9:N9,$B$1),"&gt;0")=0,0,
(SUMIF(H9:INDEX(H9:N9,$B$1),"&gt;0",H9:INDEX(H9:N9,$B$1))*$B$1/COUNTIF(H9:INDEX(H9:N9,$B$1),"&gt;0"))*
IF($B$1-COUNTIF(H9:INDEX(H9:N9,$B$1),"&gt;0")&lt;=2,1,
IF($B$1-COUNTIF(H9:INDEX(H9:N9,$B$1),"&gt;0")=3,0.8,
IF($B$1-COUNTIF(H9:INDEX(H9:N9,$B$1),"&gt;0")=4,0.6,0))))</f>
        <v>682.8</v>
      </c>
      <c r="H9" s="3">
        <v>68</v>
      </c>
      <c r="I9" s="3">
        <v>58</v>
      </c>
      <c r="J9" s="3">
        <v>98</v>
      </c>
      <c r="K9" s="3">
        <v>-1</v>
      </c>
      <c r="L9" s="3">
        <v>79</v>
      </c>
      <c r="M9" s="3">
        <v>266</v>
      </c>
      <c r="N9" s="3"/>
      <c r="O9" s="12">
        <f>0.2*IF(COUNTIF(P9:INDEX(P9:V9,$B$1),"&gt;0")=0,0,
(SUMIF(P9:INDEX(P9:V9,$B$1),"&gt;0",P9:INDEX(P9:V9,$B$1))*$B$1/COUNTIF(P9:INDEX(P9:V9,$B$1),"&gt;0"))*
IF($B$1-COUNTIF(P9:INDEX(P9:V9,$B$1),"&gt;0")&lt;=2,1,
IF($B$1-COUNTIF(P9:INDEX(P9:V9,$B$1),"&gt;0")=3,0.8,
IF($B$1-COUNTIF(P9:INDEX(P9:V9,$B$1),"&gt;0")=4,0.6,0))))</f>
        <v>69</v>
      </c>
      <c r="P9" s="3">
        <v>61</v>
      </c>
      <c r="Q9" s="3">
        <v>52</v>
      </c>
      <c r="R9" s="3">
        <v>-1</v>
      </c>
      <c r="S9" s="3">
        <v>-1</v>
      </c>
      <c r="T9" s="3">
        <v>60</v>
      </c>
      <c r="U9" s="3">
        <v>57</v>
      </c>
      <c r="W9" s="3">
        <f t="shared" si="10"/>
        <v>80</v>
      </c>
      <c r="X9" s="3"/>
      <c r="Y9" s="3" t="s">
        <v>15</v>
      </c>
      <c r="Z9" s="3" t="s">
        <v>15</v>
      </c>
      <c r="AB9" s="3" t="s">
        <v>121</v>
      </c>
      <c r="AC9" s="3" t="s">
        <v>176</v>
      </c>
      <c r="AE9" s="50">
        <f t="shared" si="11"/>
        <v>317.63897362290356</v>
      </c>
      <c r="AG9" s="12">
        <f t="shared" si="12"/>
        <v>0</v>
      </c>
      <c r="AH9" s="12">
        <f t="shared" si="13"/>
        <v>0</v>
      </c>
      <c r="AI9" s="12"/>
      <c r="AJ9" s="12">
        <f t="shared" si="14"/>
        <v>0</v>
      </c>
      <c r="AK9" s="12">
        <f t="shared" si="15"/>
        <v>0</v>
      </c>
      <c r="AL9" s="12">
        <v>5.3</v>
      </c>
      <c r="AM9" s="12">
        <f t="shared" si="16"/>
        <v>2.3021728866442674</v>
      </c>
      <c r="AN9" s="12">
        <f t="shared" si="17"/>
        <v>93.201467540847759</v>
      </c>
      <c r="AO9" s="12">
        <v>2.2999999999999998</v>
      </c>
      <c r="AP9" s="12">
        <f t="shared" si="18"/>
        <v>1.51657508881031</v>
      </c>
      <c r="AQ9" s="12">
        <f t="shared" si="19"/>
        <v>102.97669671521007</v>
      </c>
      <c r="AR9" s="12">
        <v>1.3</v>
      </c>
      <c r="AS9" s="12">
        <f t="shared" si="20"/>
        <v>1.1401754250991381</v>
      </c>
      <c r="AT9" s="12">
        <f t="shared" si="21"/>
        <v>63.435728602993152</v>
      </c>
      <c r="BA9" s="24">
        <v>297</v>
      </c>
      <c r="BB9" s="12">
        <f t="shared" si="22"/>
        <v>17.233687939614086</v>
      </c>
      <c r="BC9" s="51">
        <f t="shared" si="23"/>
        <v>58.0250807638526</v>
      </c>
      <c r="BD9" s="22">
        <v>1.48</v>
      </c>
      <c r="BE9" s="20">
        <f t="shared" si="24"/>
        <v>1.2165525060596438</v>
      </c>
      <c r="BF9" s="12">
        <f t="shared" si="25"/>
        <v>360.71341662988607</v>
      </c>
      <c r="BJ9" s="24"/>
      <c r="BK9" s="24"/>
      <c r="BL9" s="24">
        <v>13</v>
      </c>
      <c r="BM9" s="12">
        <f t="shared" si="26"/>
        <v>43.046357615894038</v>
      </c>
      <c r="BN9" s="45">
        <f t="shared" si="27"/>
        <v>0</v>
      </c>
      <c r="BO9" s="27">
        <v>0</v>
      </c>
      <c r="BP9" s="27">
        <v>0</v>
      </c>
      <c r="BS9" s="27"/>
      <c r="BT9" s="3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</row>
    <row r="10" spans="2:96" ht="20.100000000000001" customHeight="1" x14ac:dyDescent="0.25">
      <c r="B10" s="1">
        <v>4</v>
      </c>
      <c r="C10" s="44">
        <v>4</v>
      </c>
      <c r="D10" s="1" t="str">
        <f t="shared" si="5"/>
        <v>—</v>
      </c>
      <c r="E10" s="2" t="s">
        <v>24</v>
      </c>
      <c r="F10" s="47">
        <f t="shared" si="9"/>
        <v>1551.692885713896</v>
      </c>
      <c r="G10" s="15">
        <f>IF(COUNTIF(H10:INDEX(H10:N10,$B$1),"&gt;0")=0,0,
(SUMIF(H10:INDEX(H10:N10,$B$1),"&gt;0",H10:INDEX(H10:N10,$B$1))*$B$1/COUNTIF(H10:INDEX(H10:N10,$B$1),"&gt;0"))*
IF($B$1-COUNTIF(H10:INDEX(H10:N10,$B$1),"&gt;0")&lt;=2,1,
IF($B$1-COUNTIF(H10:INDEX(H10:N10,$B$1),"&gt;0")=3,0.8,
IF($B$1-COUNTIF(H10:INDEX(H10:N10,$B$1),"&gt;0")=4,0.6,0))))</f>
        <v>642</v>
      </c>
      <c r="H10" s="3">
        <v>72</v>
      </c>
      <c r="I10" s="3">
        <v>63</v>
      </c>
      <c r="J10" s="3">
        <v>87</v>
      </c>
      <c r="K10" s="3">
        <v>160</v>
      </c>
      <c r="L10" s="3">
        <v>72</v>
      </c>
      <c r="M10" s="3">
        <v>188</v>
      </c>
      <c r="N10" s="3"/>
      <c r="O10" s="12">
        <f>0.2*IF(COUNTIF(P10:INDEX(P10:V10,$B$1),"&gt;0")=0,0,
(SUMIF(P10:INDEX(P10:V10,$B$1),"&gt;0",P10:INDEX(P10:V10,$B$1))*$B$1/COUNTIF(P10:INDEX(P10:V10,$B$1),"&gt;0"))*
IF($B$1-COUNTIF(P10:INDEX(P10:V10,$B$1),"&gt;0")&lt;=2,1,
IF($B$1-COUNTIF(P10:INDEX(P10:V10,$B$1),"&gt;0")=3,0.8,
IF($B$1-COUNTIF(P10:INDEX(P10:V10,$B$1),"&gt;0")=4,0.6,0))))</f>
        <v>62</v>
      </c>
      <c r="P10" s="3">
        <v>56</v>
      </c>
      <c r="Q10" s="3">
        <v>45</v>
      </c>
      <c r="R10" s="3">
        <v>52</v>
      </c>
      <c r="S10" s="3">
        <v>57</v>
      </c>
      <c r="T10" s="3">
        <v>50</v>
      </c>
      <c r="U10" s="3">
        <v>50</v>
      </c>
      <c r="W10" s="3">
        <f t="shared" si="10"/>
        <v>100</v>
      </c>
      <c r="X10" s="3" t="s">
        <v>15</v>
      </c>
      <c r="Y10" s="3" t="s">
        <v>15</v>
      </c>
      <c r="Z10" s="3" t="s">
        <v>15</v>
      </c>
      <c r="AA10" s="3" t="s">
        <v>121</v>
      </c>
      <c r="AB10" s="3" t="s">
        <v>121</v>
      </c>
      <c r="AC10" s="3" t="s">
        <v>176</v>
      </c>
      <c r="AE10" s="50">
        <f t="shared" si="11"/>
        <v>405.46281190710511</v>
      </c>
      <c r="AF10" s="12">
        <v>5</v>
      </c>
      <c r="AG10" s="12">
        <f t="shared" si="12"/>
        <v>2.2360679774997898</v>
      </c>
      <c r="AH10" s="12">
        <f t="shared" si="13"/>
        <v>59.876118497970893</v>
      </c>
      <c r="AI10" s="12">
        <v>2.6</v>
      </c>
      <c r="AJ10" s="12">
        <f t="shared" si="14"/>
        <v>1.61245154965971</v>
      </c>
      <c r="AK10" s="12">
        <f t="shared" si="15"/>
        <v>47.694755580040187</v>
      </c>
      <c r="AL10" s="12">
        <v>2</v>
      </c>
      <c r="AM10" s="12">
        <f t="shared" si="16"/>
        <v>1.4142135623730951</v>
      </c>
      <c r="AN10" s="12">
        <f t="shared" si="17"/>
        <v>57.253206392100793</v>
      </c>
      <c r="AO10" s="12">
        <v>2.9</v>
      </c>
      <c r="AP10" s="12">
        <f t="shared" si="18"/>
        <v>1.70293863659264</v>
      </c>
      <c r="AQ10" s="12">
        <f t="shared" si="19"/>
        <v>115.63093499219916</v>
      </c>
      <c r="AR10" s="12">
        <v>1.2</v>
      </c>
      <c r="AS10" s="12">
        <f t="shared" si="20"/>
        <v>1.0954451150103321</v>
      </c>
      <c r="AT10" s="12">
        <f t="shared" si="21"/>
        <v>60.947076638867109</v>
      </c>
      <c r="BA10" s="24">
        <v>362</v>
      </c>
      <c r="BB10" s="12">
        <f t="shared" si="22"/>
        <v>19.026297590440446</v>
      </c>
      <c r="BC10" s="51">
        <f t="shared" si="23"/>
        <v>64.060719805926979</v>
      </c>
      <c r="BD10" s="22">
        <v>0.93</v>
      </c>
      <c r="BE10" s="20">
        <f t="shared" si="24"/>
        <v>0.96436507609929556</v>
      </c>
      <c r="BF10" s="12">
        <f t="shared" si="25"/>
        <v>285.93868307831389</v>
      </c>
      <c r="BJ10" s="24"/>
      <c r="BK10" s="24"/>
      <c r="BL10" s="24">
        <v>17</v>
      </c>
      <c r="BM10" s="12">
        <f t="shared" si="26"/>
        <v>56.291390728476827</v>
      </c>
      <c r="BN10" s="45">
        <f t="shared" si="27"/>
        <v>0</v>
      </c>
      <c r="BO10" s="27">
        <v>0</v>
      </c>
      <c r="BP10" s="27">
        <v>0</v>
      </c>
      <c r="BS10" s="27"/>
      <c r="BT10" s="3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</row>
    <row r="11" spans="2:96" ht="20.100000000000001" customHeight="1" x14ac:dyDescent="0.25">
      <c r="B11" s="1">
        <v>3</v>
      </c>
      <c r="C11" s="44">
        <v>5</v>
      </c>
      <c r="D11" s="1" t="str">
        <f t="shared" si="5"/>
        <v>▼2</v>
      </c>
      <c r="E11" s="2" t="s">
        <v>21</v>
      </c>
      <c r="F11" s="47">
        <f t="shared" si="9"/>
        <v>1546.775679735568</v>
      </c>
      <c r="G11" s="15">
        <f>IF(COUNTIF(H11:INDEX(H11:N11,$B$1),"&gt;0")=0,0,
(SUMIF(H11:INDEX(H11:N11,$B$1),"&gt;0",H11:INDEX(H11:N11,$B$1))*$B$1/COUNTIF(H11:INDEX(H11:N11,$B$1),"&gt;0"))*
IF($B$1-COUNTIF(H11:INDEX(H11:N11,$B$1),"&gt;0")&lt;=2,1,
IF($B$1-COUNTIF(H11:INDEX(H11:N11,$B$1),"&gt;0")=3,0.8,
IF($B$1-COUNTIF(H11:INDEX(H11:N11,$B$1),"&gt;0")=4,0.6,0))))</f>
        <v>669</v>
      </c>
      <c r="H11" s="3">
        <v>76</v>
      </c>
      <c r="I11" s="3">
        <v>77</v>
      </c>
      <c r="J11" s="3">
        <v>80</v>
      </c>
      <c r="K11" s="3">
        <v>170</v>
      </c>
      <c r="L11" s="3">
        <v>123</v>
      </c>
      <c r="M11" s="3">
        <v>143</v>
      </c>
      <c r="N11" s="3"/>
      <c r="O11" s="12">
        <f>0.2*IF(COUNTIF(P11:INDEX(P11:V11,$B$1),"&gt;0")=0,0,
(SUMIF(P11:INDEX(P11:V11,$B$1),"&gt;0",P11:INDEX(P11:V11,$B$1))*$B$1/COUNTIF(P11:INDEX(P11:V11,$B$1),"&gt;0"))*
IF($B$1-COUNTIF(P11:INDEX(P11:V11,$B$1),"&gt;0")&lt;=2,1,
IF($B$1-COUNTIF(P11:INDEX(P11:V11,$B$1),"&gt;0")=3,0.8,
IF($B$1-COUNTIF(P11:INDEX(P11:V11,$B$1),"&gt;0")=4,0.6,0))))</f>
        <v>60.400000000000006</v>
      </c>
      <c r="P11" s="3">
        <v>53</v>
      </c>
      <c r="Q11" s="3">
        <v>44</v>
      </c>
      <c r="R11" s="3">
        <v>55</v>
      </c>
      <c r="S11" s="3">
        <v>50</v>
      </c>
      <c r="T11" s="3">
        <v>50</v>
      </c>
      <c r="U11" s="3">
        <v>50</v>
      </c>
      <c r="W11" s="3">
        <f t="shared" si="10"/>
        <v>100</v>
      </c>
      <c r="X11" s="3" t="s">
        <v>17</v>
      </c>
      <c r="Y11" s="3" t="s">
        <v>15</v>
      </c>
      <c r="Z11" s="3" t="s">
        <v>17</v>
      </c>
      <c r="AA11" s="3" t="s">
        <v>123</v>
      </c>
      <c r="AB11" s="3" t="s">
        <v>123</v>
      </c>
      <c r="AC11" s="3" t="s">
        <v>176</v>
      </c>
      <c r="AE11" s="50">
        <f t="shared" si="11"/>
        <v>332.37533182748018</v>
      </c>
      <c r="AF11" s="12">
        <v>3.7</v>
      </c>
      <c r="AG11" s="12">
        <f t="shared" si="12"/>
        <v>1.9235384061671346</v>
      </c>
      <c r="AH11" s="12">
        <f t="shared" si="13"/>
        <v>51.507384704753342</v>
      </c>
      <c r="AI11" s="12">
        <v>2.9</v>
      </c>
      <c r="AJ11" s="12">
        <f t="shared" si="14"/>
        <v>1.70293863659264</v>
      </c>
      <c r="AK11" s="12">
        <f t="shared" si="15"/>
        <v>50.371275997243877</v>
      </c>
      <c r="AL11" s="12">
        <v>2.6</v>
      </c>
      <c r="AM11" s="12">
        <f t="shared" si="16"/>
        <v>1.61245154965971</v>
      </c>
      <c r="AN11" s="12">
        <f t="shared" si="17"/>
        <v>65.278698936402208</v>
      </c>
      <c r="AO11" s="12">
        <v>1.1000000000000001</v>
      </c>
      <c r="AP11" s="12">
        <f t="shared" si="18"/>
        <v>1.0488088481701516</v>
      </c>
      <c r="AQ11" s="12">
        <f t="shared" si="19"/>
        <v>71.214983990651092</v>
      </c>
      <c r="AR11" s="12">
        <v>1.5</v>
      </c>
      <c r="AS11" s="12">
        <f t="shared" si="20"/>
        <v>1.2247448713915889</v>
      </c>
      <c r="AT11" s="12">
        <f t="shared" si="21"/>
        <v>68.140903197198128</v>
      </c>
      <c r="BA11" s="24">
        <v>59</v>
      </c>
      <c r="BB11" s="12">
        <f t="shared" si="22"/>
        <v>7.6811457478686078</v>
      </c>
      <c r="BC11" s="51">
        <f t="shared" si="23"/>
        <v>25.862085001231574</v>
      </c>
      <c r="BD11" s="22">
        <v>1.18</v>
      </c>
      <c r="BE11" s="20">
        <f t="shared" si="24"/>
        <v>1.0862780491200215</v>
      </c>
      <c r="BF11" s="12">
        <f t="shared" si="25"/>
        <v>322.08644062331962</v>
      </c>
      <c r="BJ11" s="24"/>
      <c r="BK11" s="24"/>
      <c r="BL11" s="24">
        <v>19</v>
      </c>
      <c r="BM11" s="12">
        <f t="shared" si="26"/>
        <v>62.913907284768214</v>
      </c>
      <c r="BN11" s="45">
        <f t="shared" si="27"/>
        <v>0</v>
      </c>
      <c r="BO11" s="27">
        <v>0</v>
      </c>
      <c r="BP11" s="27">
        <v>0</v>
      </c>
      <c r="BS11" s="27"/>
      <c r="BT11" s="3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</row>
    <row r="12" spans="2:96" ht="20.100000000000001" customHeight="1" x14ac:dyDescent="0.25">
      <c r="B12" s="1">
        <v>12</v>
      </c>
      <c r="C12" s="44">
        <v>6</v>
      </c>
      <c r="D12" s="1" t="str">
        <f t="shared" si="5"/>
        <v>▲6</v>
      </c>
      <c r="E12" s="2" t="s">
        <v>16</v>
      </c>
      <c r="F12" s="47">
        <f t="shared" si="9"/>
        <v>1267.6844338484234</v>
      </c>
      <c r="G12" s="15">
        <f>IF(COUNTIF(H12:INDEX(H12:N12,$B$1),"&gt;0")=0,0,
(SUMIF(H12:INDEX(H12:N12,$B$1),"&gt;0",H12:INDEX(H12:N12,$B$1))*$B$1/COUNTIF(H12:INDEX(H12:N12,$B$1),"&gt;0"))*
IF($B$1-COUNTIF(H12:INDEX(H12:N12,$B$1),"&gt;0")&lt;=2,1,
IF($B$1-COUNTIF(H12:INDEX(H12:N12,$B$1),"&gt;0")=3,0.8,
IF($B$1-COUNTIF(H12:INDEX(H12:N12,$B$1),"&gt;0")=4,0.6,0))))</f>
        <v>597</v>
      </c>
      <c r="H12" s="3">
        <v>80</v>
      </c>
      <c r="I12" s="3">
        <v>118</v>
      </c>
      <c r="J12" s="3">
        <v>105</v>
      </c>
      <c r="K12" s="3">
        <v>92</v>
      </c>
      <c r="L12" s="3">
        <v>80</v>
      </c>
      <c r="M12" s="3">
        <v>122</v>
      </c>
      <c r="N12" s="3"/>
      <c r="O12" s="12">
        <f>0.2*IF(COUNTIF(P12:INDEX(P12:V12,$B$1),"&gt;0")=0,0,
(SUMIF(P12:INDEX(P12:V12,$B$1),"&gt;0",P12:INDEX(P12:V12,$B$1))*$B$1/COUNTIF(P12:INDEX(P12:V12,$B$1),"&gt;0"))*
IF($B$1-COUNTIF(P12:INDEX(P12:V12,$B$1),"&gt;0")&lt;=2,1,
IF($B$1-COUNTIF(P12:INDEX(P12:V12,$B$1),"&gt;0")=3,0.8,
IF($B$1-COUNTIF(P12:INDEX(P12:V12,$B$1),"&gt;0")=4,0.6,0))))</f>
        <v>58</v>
      </c>
      <c r="P12" s="3">
        <v>56</v>
      </c>
      <c r="Q12" s="3">
        <v>47</v>
      </c>
      <c r="R12" s="3">
        <v>56</v>
      </c>
      <c r="S12" s="3">
        <v>25</v>
      </c>
      <c r="T12" s="3">
        <v>53</v>
      </c>
      <c r="U12" s="3">
        <v>53</v>
      </c>
      <c r="W12" s="3">
        <f t="shared" si="10"/>
        <v>100</v>
      </c>
      <c r="X12" s="3" t="s">
        <v>15</v>
      </c>
      <c r="Y12" s="3" t="s">
        <v>15</v>
      </c>
      <c r="Z12" s="3" t="s">
        <v>15</v>
      </c>
      <c r="AB12" s="3" t="s">
        <v>121</v>
      </c>
      <c r="AC12" s="3" t="s">
        <v>176</v>
      </c>
      <c r="AE12" s="50">
        <f t="shared" si="11"/>
        <v>242.79263570040072</v>
      </c>
      <c r="AF12" s="12">
        <v>2.5</v>
      </c>
      <c r="AG12" s="12">
        <f t="shared" si="12"/>
        <v>1.5811388300841898</v>
      </c>
      <c r="AH12" s="12">
        <f t="shared" si="13"/>
        <v>42.338809421044495</v>
      </c>
      <c r="AI12" s="12">
        <v>1.2</v>
      </c>
      <c r="AJ12" s="12">
        <f t="shared" si="14"/>
        <v>1.0954451150103321</v>
      </c>
      <c r="AK12" s="12">
        <f t="shared" si="15"/>
        <v>32.402205835451589</v>
      </c>
      <c r="AL12" s="12">
        <v>0.8</v>
      </c>
      <c r="AM12" s="12">
        <f t="shared" si="16"/>
        <v>0.89442719099991586</v>
      </c>
      <c r="AN12" s="12">
        <f t="shared" si="17"/>
        <v>36.210107109349948</v>
      </c>
      <c r="AO12" s="12">
        <v>1.4</v>
      </c>
      <c r="AP12" s="12">
        <f t="shared" si="18"/>
        <v>1.1832159566199232</v>
      </c>
      <c r="AQ12" s="12">
        <f t="shared" si="19"/>
        <v>80.341337275313066</v>
      </c>
      <c r="AR12" s="12">
        <v>0.3</v>
      </c>
      <c r="AS12" s="12">
        <f t="shared" si="20"/>
        <v>0.54772255750516607</v>
      </c>
      <c r="AT12" s="12">
        <f t="shared" si="21"/>
        <v>30.473538319433555</v>
      </c>
      <c r="BA12" s="24">
        <v>39</v>
      </c>
      <c r="BB12" s="12">
        <f t="shared" si="22"/>
        <v>6.2449979983983983</v>
      </c>
      <c r="BC12" s="51">
        <f t="shared" si="23"/>
        <v>21.026637739808081</v>
      </c>
      <c r="BD12" s="22">
        <v>0.62</v>
      </c>
      <c r="BE12" s="20">
        <f t="shared" si="24"/>
        <v>0.78740078740118113</v>
      </c>
      <c r="BF12" s="12">
        <f t="shared" si="25"/>
        <v>233.46795708841989</v>
      </c>
      <c r="BJ12" s="24"/>
      <c r="BK12" s="24"/>
      <c r="BL12" s="24">
        <v>11</v>
      </c>
      <c r="BM12" s="12">
        <f t="shared" si="26"/>
        <v>36.423841059602651</v>
      </c>
      <c r="BN12" s="45">
        <f t="shared" si="27"/>
        <v>0</v>
      </c>
      <c r="BO12" s="27">
        <v>0</v>
      </c>
      <c r="BP12" s="27">
        <v>0</v>
      </c>
      <c r="BS12" s="27"/>
      <c r="BT12" s="3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</row>
    <row r="13" spans="2:96" ht="20.100000000000001" customHeight="1" x14ac:dyDescent="0.25">
      <c r="B13" s="1">
        <v>9</v>
      </c>
      <c r="C13" s="44">
        <v>7</v>
      </c>
      <c r="D13" s="1" t="str">
        <f t="shared" si="5"/>
        <v>▲2</v>
      </c>
      <c r="E13" s="2" t="s">
        <v>26</v>
      </c>
      <c r="F13" s="47">
        <f t="shared" si="9"/>
        <v>1251.7962534421686</v>
      </c>
      <c r="G13" s="15">
        <f>IF(COUNTIF(H13:INDEX(H13:N13,$B$1),"&gt;0")=0,0,
(SUMIF(H13:INDEX(H13:N13,$B$1),"&gt;0",H13:INDEX(H13:N13,$B$1))*$B$1/COUNTIF(H13:INDEX(H13:N13,$B$1),"&gt;0"))*
IF($B$1-COUNTIF(H13:INDEX(H13:N13,$B$1),"&gt;0")&lt;=2,1,
IF($B$1-COUNTIF(H13:INDEX(H13:N13,$B$1),"&gt;0")=3,0.8,
IF($B$1-COUNTIF(H13:INDEX(H13:N13,$B$1),"&gt;0")=4,0.6,0))))</f>
        <v>516</v>
      </c>
      <c r="H13" s="3">
        <v>62</v>
      </c>
      <c r="I13" s="3">
        <v>89</v>
      </c>
      <c r="J13" s="3">
        <v>63</v>
      </c>
      <c r="K13" s="3">
        <v>138</v>
      </c>
      <c r="L13" s="3">
        <v>76</v>
      </c>
      <c r="M13" s="3">
        <v>88</v>
      </c>
      <c r="N13" s="3"/>
      <c r="O13" s="12">
        <f>0.2*IF(COUNTIF(P13:INDEX(P13:V13,$B$1),"&gt;0")=0,0,
(SUMIF(P13:INDEX(P13:V13,$B$1),"&gt;0",P13:INDEX(P13:V13,$B$1))*$B$1/COUNTIF(P13:INDEX(P13:V13,$B$1),"&gt;0"))*
IF($B$1-COUNTIF(P13:INDEX(P13:V13,$B$1),"&gt;0")&lt;=2,1,
IF($B$1-COUNTIF(P13:INDEX(P13:V13,$B$1),"&gt;0")=3,0.8,
IF($B$1-COUNTIF(P13:INDEX(P13:V13,$B$1),"&gt;0")=4,0.6,0))))</f>
        <v>57.800000000000004</v>
      </c>
      <c r="P13" s="3">
        <v>52</v>
      </c>
      <c r="Q13" s="3">
        <v>45</v>
      </c>
      <c r="R13" s="3">
        <v>39</v>
      </c>
      <c r="S13" s="3">
        <v>54</v>
      </c>
      <c r="T13" s="3">
        <v>58</v>
      </c>
      <c r="U13" s="3">
        <v>41</v>
      </c>
      <c r="W13" s="3">
        <f t="shared" si="10"/>
        <v>100</v>
      </c>
      <c r="X13" s="3" t="s">
        <v>17</v>
      </c>
      <c r="Y13" s="3" t="s">
        <v>17</v>
      </c>
      <c r="Z13" s="3" t="s">
        <v>17</v>
      </c>
      <c r="AA13" s="3" t="s">
        <v>123</v>
      </c>
      <c r="AB13" s="3" t="s">
        <v>123</v>
      </c>
      <c r="AC13" s="3" t="s">
        <v>176</v>
      </c>
      <c r="AE13" s="50">
        <f t="shared" si="11"/>
        <v>256.97219038522314</v>
      </c>
      <c r="AF13" s="12">
        <v>2.6</v>
      </c>
      <c r="AG13" s="12">
        <f t="shared" si="12"/>
        <v>1.61245154965971</v>
      </c>
      <c r="AH13" s="12">
        <f t="shared" si="13"/>
        <v>43.177283084038386</v>
      </c>
      <c r="AI13" s="12">
        <v>0.8</v>
      </c>
      <c r="AJ13" s="12">
        <f t="shared" si="14"/>
        <v>0.89442719099991586</v>
      </c>
      <c r="AK13" s="12">
        <f t="shared" si="15"/>
        <v>26.456290279162634</v>
      </c>
      <c r="AL13" s="12">
        <v>1.1000000000000001</v>
      </c>
      <c r="AM13" s="12">
        <f t="shared" si="16"/>
        <v>1.0488088481701516</v>
      </c>
      <c r="AN13" s="12">
        <f t="shared" si="17"/>
        <v>42.460114262647359</v>
      </c>
      <c r="AO13" s="12">
        <v>1.4</v>
      </c>
      <c r="AP13" s="12">
        <f t="shared" si="18"/>
        <v>1.1832159566199232</v>
      </c>
      <c r="AQ13" s="12">
        <f t="shared" si="19"/>
        <v>80.341337275313066</v>
      </c>
      <c r="AR13" s="12">
        <v>0.5</v>
      </c>
      <c r="AS13" s="12">
        <f t="shared" si="20"/>
        <v>0.70710678118654757</v>
      </c>
      <c r="AT13" s="12">
        <f t="shared" si="21"/>
        <v>39.341168803726575</v>
      </c>
      <c r="BA13" s="24">
        <v>56</v>
      </c>
      <c r="BB13" s="12">
        <f t="shared" si="22"/>
        <v>7.4833147735478827</v>
      </c>
      <c r="BC13" s="51">
        <f t="shared" si="23"/>
        <v>25.195996680335078</v>
      </c>
      <c r="BD13" s="22">
        <v>0.9</v>
      </c>
      <c r="BE13" s="20">
        <f t="shared" si="24"/>
        <v>0.94868329805051377</v>
      </c>
      <c r="BF13" s="12">
        <f t="shared" si="25"/>
        <v>281.28896371919706</v>
      </c>
      <c r="BJ13" s="24"/>
      <c r="BK13" s="24"/>
      <c r="BL13" s="24">
        <v>12</v>
      </c>
      <c r="BM13" s="12">
        <f t="shared" si="26"/>
        <v>39.735099337748345</v>
      </c>
      <c r="BN13" s="45">
        <f t="shared" si="27"/>
        <v>0</v>
      </c>
      <c r="BO13" s="27">
        <v>0</v>
      </c>
      <c r="BP13" s="27">
        <v>0</v>
      </c>
      <c r="BS13" s="27"/>
      <c r="BT13" s="3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</row>
    <row r="14" spans="2:96" ht="20.100000000000001" customHeight="1" x14ac:dyDescent="0.25">
      <c r="B14" s="1">
        <v>11</v>
      </c>
      <c r="C14" s="44">
        <v>8</v>
      </c>
      <c r="D14" s="1" t="str">
        <f t="shared" si="5"/>
        <v>▲3</v>
      </c>
      <c r="E14" s="2" t="s">
        <v>19</v>
      </c>
      <c r="F14" s="47">
        <f t="shared" si="9"/>
        <v>1241.8719715365919</v>
      </c>
      <c r="G14" s="15">
        <f>IF(COUNTIF(H14:INDEX(H14:N14,$B$1),"&gt;0")=0,0,
(SUMIF(H14:INDEX(H14:N14,$B$1),"&gt;0",H14:INDEX(H14:N14,$B$1))*$B$1/COUNTIF(H14:INDEX(H14:N14,$B$1),"&gt;0"))*
IF($B$1-COUNTIF(H14:INDEX(H14:N14,$B$1),"&gt;0")&lt;=2,1,
IF($B$1-COUNTIF(H14:INDEX(H14:N14,$B$1),"&gt;0")=3,0.8,
IF($B$1-COUNTIF(H14:INDEX(H14:N14,$B$1),"&gt;0")=4,0.6,0))))</f>
        <v>579</v>
      </c>
      <c r="H14" s="3">
        <v>58</v>
      </c>
      <c r="I14" s="3">
        <v>85</v>
      </c>
      <c r="J14" s="3">
        <v>112</v>
      </c>
      <c r="K14" s="3">
        <v>137</v>
      </c>
      <c r="L14" s="3">
        <v>82</v>
      </c>
      <c r="M14" s="3">
        <v>105</v>
      </c>
      <c r="N14" s="3"/>
      <c r="O14" s="12">
        <f>0.2*IF(COUNTIF(P14:INDEX(P14:V14,$B$1),"&gt;0")=0,0,
(SUMIF(P14:INDEX(P14:V14,$B$1),"&gt;0",P14:INDEX(P14:V14,$B$1))*$B$1/COUNTIF(P14:INDEX(P14:V14,$B$1),"&gt;0"))*
IF($B$1-COUNTIF(P14:INDEX(P14:V14,$B$1),"&gt;0")&lt;=2,1,
IF($B$1-COUNTIF(P14:INDEX(P14:V14,$B$1),"&gt;0")=3,0.8,
IF($B$1-COUNTIF(P14:INDEX(P14:V14,$B$1),"&gt;0")=4,0.6,0))))</f>
        <v>58.2</v>
      </c>
      <c r="P14" s="3">
        <v>48</v>
      </c>
      <c r="Q14" s="3">
        <v>44</v>
      </c>
      <c r="R14" s="3">
        <v>50</v>
      </c>
      <c r="S14" s="3">
        <v>50</v>
      </c>
      <c r="T14" s="3">
        <v>53</v>
      </c>
      <c r="U14" s="3">
        <v>46</v>
      </c>
      <c r="W14" s="3">
        <f t="shared" si="10"/>
        <v>100</v>
      </c>
      <c r="X14" s="3" t="s">
        <v>15</v>
      </c>
      <c r="Y14" s="3" t="s">
        <v>15</v>
      </c>
      <c r="Z14" s="3" t="s">
        <v>15</v>
      </c>
      <c r="AA14" s="3" t="s">
        <v>121</v>
      </c>
      <c r="AB14" s="3" t="s">
        <v>121</v>
      </c>
      <c r="AC14" s="3" t="s">
        <v>176</v>
      </c>
      <c r="AE14" s="50">
        <f t="shared" si="11"/>
        <v>302.02670981202164</v>
      </c>
      <c r="AF14" s="12">
        <v>4.5999999999999996</v>
      </c>
      <c r="AG14" s="12">
        <f t="shared" si="12"/>
        <v>2.1447610589527217</v>
      </c>
      <c r="AH14" s="12">
        <f t="shared" si="13"/>
        <v>57.43115531723533</v>
      </c>
      <c r="AI14" s="12">
        <v>2.4</v>
      </c>
      <c r="AJ14" s="12">
        <f t="shared" si="14"/>
        <v>1.5491933384829668</v>
      </c>
      <c r="AK14" s="12">
        <f t="shared" si="15"/>
        <v>45.823638943300281</v>
      </c>
      <c r="AL14" s="12">
        <v>1.1000000000000001</v>
      </c>
      <c r="AM14" s="12">
        <f t="shared" si="16"/>
        <v>1.0488088481701516</v>
      </c>
      <c r="AN14" s="12">
        <f t="shared" si="17"/>
        <v>42.460114262647359</v>
      </c>
      <c r="AO14" s="12">
        <v>1.2</v>
      </c>
      <c r="AP14" s="12">
        <f t="shared" si="18"/>
        <v>1.0954451150103321</v>
      </c>
      <c r="AQ14" s="12">
        <f t="shared" si="19"/>
        <v>74.381624892090542</v>
      </c>
      <c r="AR14" s="12">
        <v>0.5</v>
      </c>
      <c r="AS14" s="12">
        <f t="shared" si="20"/>
        <v>0.70710678118654757</v>
      </c>
      <c r="AT14" s="12">
        <f t="shared" si="21"/>
        <v>39.341168803726575</v>
      </c>
      <c r="BA14" s="24">
        <v>160</v>
      </c>
      <c r="BB14" s="12">
        <f t="shared" si="22"/>
        <v>12.649110640673518</v>
      </c>
      <c r="BC14" s="51">
        <f t="shared" si="23"/>
        <v>42.589007593021549</v>
      </c>
      <c r="BD14" s="22">
        <v>0.38</v>
      </c>
      <c r="BE14" s="20">
        <f t="shared" si="24"/>
        <v>0.61644140029689765</v>
      </c>
      <c r="BF14" s="12">
        <f t="shared" si="25"/>
        <v>182.77771205569621</v>
      </c>
      <c r="BJ14" s="24"/>
      <c r="BK14" s="24"/>
      <c r="BL14" s="24">
        <v>6</v>
      </c>
      <c r="BM14" s="12">
        <f t="shared" si="26"/>
        <v>19.867549668874172</v>
      </c>
      <c r="BN14" s="45">
        <f t="shared" si="27"/>
        <v>0</v>
      </c>
      <c r="BO14" s="27">
        <v>0</v>
      </c>
      <c r="BP14" s="27">
        <v>0</v>
      </c>
      <c r="BS14" s="27"/>
      <c r="BT14" s="3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</row>
    <row r="15" spans="2:96" ht="20.100000000000001" customHeight="1" x14ac:dyDescent="0.25">
      <c r="B15" s="1">
        <v>5</v>
      </c>
      <c r="C15" s="44">
        <v>9</v>
      </c>
      <c r="D15" s="1" t="str">
        <f t="shared" si="5"/>
        <v>▼4</v>
      </c>
      <c r="E15" s="2" t="s">
        <v>28</v>
      </c>
      <c r="F15" s="47">
        <f t="shared" si="9"/>
        <v>1221.7942420430386</v>
      </c>
      <c r="G15" s="15">
        <f>IF(COUNTIF(H15:INDEX(H15:N15,$B$1),"&gt;0")=0,0,
(SUMIF(H15:INDEX(H15:N15,$B$1),"&gt;0",H15:INDEX(H15:N15,$B$1))*$B$1/COUNTIF(H15:INDEX(H15:N15,$B$1),"&gt;0"))*
IF($B$1-COUNTIF(H15:INDEX(H15:N15,$B$1),"&gt;0")&lt;=2,1,
IF($B$1-COUNTIF(H15:INDEX(H15:N15,$B$1),"&gt;0")=3,0.8,
IF($B$1-COUNTIF(H15:INDEX(H15:N15,$B$1),"&gt;0")=4,0.6,0))))</f>
        <v>485</v>
      </c>
      <c r="H15" s="3">
        <v>80</v>
      </c>
      <c r="I15" s="3">
        <v>70</v>
      </c>
      <c r="J15" s="3">
        <v>60</v>
      </c>
      <c r="K15" s="3">
        <v>138</v>
      </c>
      <c r="L15" s="3">
        <v>75</v>
      </c>
      <c r="M15" s="3">
        <v>62</v>
      </c>
      <c r="N15" s="3"/>
      <c r="O15" s="12">
        <f>0.2*IF(COUNTIF(P15:INDEX(P15:V15,$B$1),"&gt;0")=0,0,
(SUMIF(P15:INDEX(P15:V15,$B$1),"&gt;0",P15:INDEX(P15:V15,$B$1))*$B$1/COUNTIF(P15:INDEX(P15:V15,$B$1),"&gt;0"))*
IF($B$1-COUNTIF(P15:INDEX(P15:V15,$B$1),"&gt;0")&lt;=2,1,
IF($B$1-COUNTIF(P15:INDEX(P15:V15,$B$1),"&gt;0")=3,0.8,
IF($B$1-COUNTIF(P15:INDEX(P15:V15,$B$1),"&gt;0")=4,0.6,0))))</f>
        <v>70.600000000000009</v>
      </c>
      <c r="P15" s="3">
        <v>66</v>
      </c>
      <c r="Q15" s="3">
        <v>59</v>
      </c>
      <c r="R15" s="3">
        <v>60</v>
      </c>
      <c r="S15" s="3">
        <v>64</v>
      </c>
      <c r="T15" s="3">
        <v>61</v>
      </c>
      <c r="U15" s="3">
        <v>43</v>
      </c>
      <c r="W15" s="3">
        <f t="shared" si="10"/>
        <v>80</v>
      </c>
      <c r="X15" s="3" t="s">
        <v>15</v>
      </c>
      <c r="Y15" s="3" t="s">
        <v>15</v>
      </c>
      <c r="AB15" s="3" t="s">
        <v>123</v>
      </c>
      <c r="AC15" s="3" t="s">
        <v>176</v>
      </c>
      <c r="AE15" s="50">
        <f t="shared" si="11"/>
        <v>337.21081471485502</v>
      </c>
      <c r="AF15" s="12">
        <v>7</v>
      </c>
      <c r="AG15" s="12">
        <f t="shared" si="12"/>
        <v>2.6457513110645907</v>
      </c>
      <c r="AH15" s="12">
        <f t="shared" si="13"/>
        <v>70.846378827264502</v>
      </c>
      <c r="AI15" s="12">
        <v>4.2</v>
      </c>
      <c r="AJ15" s="12">
        <f t="shared" si="14"/>
        <v>2.0493901531919199</v>
      </c>
      <c r="AK15" s="12">
        <f t="shared" si="15"/>
        <v>60.618976405993578</v>
      </c>
      <c r="AL15" s="12">
        <v>11.3</v>
      </c>
      <c r="AM15" s="12">
        <f t="shared" si="16"/>
        <v>3.3615472627943221</v>
      </c>
      <c r="AN15" s="12">
        <f t="shared" si="17"/>
        <v>136.08931801687143</v>
      </c>
      <c r="AP15" s="12">
        <f t="shared" si="18"/>
        <v>0</v>
      </c>
      <c r="AQ15" s="12">
        <f t="shared" si="19"/>
        <v>0</v>
      </c>
      <c r="AS15" s="12">
        <f t="shared" si="20"/>
        <v>0</v>
      </c>
      <c r="AT15" s="12">
        <f t="shared" si="21"/>
        <v>0</v>
      </c>
      <c r="BA15" s="24">
        <v>428</v>
      </c>
      <c r="BB15" s="12">
        <f t="shared" si="22"/>
        <v>20.688160865577203</v>
      </c>
      <c r="BC15" s="51">
        <f t="shared" si="23"/>
        <v>69.656141464725451</v>
      </c>
      <c r="BD15" s="22">
        <v>0.65</v>
      </c>
      <c r="BE15" s="20">
        <f t="shared" si="24"/>
        <v>0.80622577482985502</v>
      </c>
      <c r="BF15" s="12">
        <f t="shared" si="25"/>
        <v>239.04965249374644</v>
      </c>
      <c r="BJ15" s="24"/>
      <c r="BK15" s="24"/>
      <c r="BL15" s="24">
        <v>3</v>
      </c>
      <c r="BM15" s="12">
        <f t="shared" si="26"/>
        <v>9.9337748344370862</v>
      </c>
      <c r="BN15" s="45">
        <f t="shared" si="27"/>
        <v>0</v>
      </c>
      <c r="BO15" s="27">
        <v>0</v>
      </c>
      <c r="BP15" s="27">
        <v>0</v>
      </c>
      <c r="BS15" s="27"/>
      <c r="BT15" s="3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</row>
    <row r="16" spans="2:96" ht="20.100000000000001" customHeight="1" x14ac:dyDescent="0.25">
      <c r="B16" s="1">
        <v>6</v>
      </c>
      <c r="C16" s="44">
        <v>10</v>
      </c>
      <c r="D16" s="1" t="str">
        <f t="shared" si="5"/>
        <v>▼4</v>
      </c>
      <c r="E16" s="2" t="s">
        <v>14</v>
      </c>
      <c r="F16" s="47">
        <f t="shared" si="9"/>
        <v>1217.1671730646233</v>
      </c>
      <c r="G16" s="15">
        <f>IF(COUNTIF(H16:INDEX(H16:N16,$B$1),"&gt;0")=0,0,
(SUMIF(H16:INDEX(H16:N16,$B$1),"&gt;0",H16:INDEX(H16:N16,$B$1))*$B$1/COUNTIF(H16:INDEX(H16:N16,$B$1),"&gt;0"))*
IF($B$1-COUNTIF(H16:INDEX(H16:N16,$B$1),"&gt;0")&lt;=2,1,
IF($B$1-COUNTIF(H16:INDEX(H16:N16,$B$1),"&gt;0")=3,0.8,
IF($B$1-COUNTIF(H16:INDEX(H16:N16,$B$1),"&gt;0")=4,0.6,0))))</f>
        <v>657</v>
      </c>
      <c r="H16" s="3">
        <v>68</v>
      </c>
      <c r="I16" s="3">
        <v>123</v>
      </c>
      <c r="J16" s="3">
        <v>154</v>
      </c>
      <c r="K16" s="3">
        <v>128</v>
      </c>
      <c r="L16" s="3">
        <v>89</v>
      </c>
      <c r="M16" s="3">
        <v>95</v>
      </c>
      <c r="N16" s="3"/>
      <c r="O16" s="12">
        <f>0.2*IF(COUNTIF(P16:INDEX(P16:V16,$B$1),"&gt;0")=0,0,
(SUMIF(P16:INDEX(P16:V16,$B$1),"&gt;0",P16:INDEX(P16:V16,$B$1))*$B$1/COUNTIF(P16:INDEX(P16:V16,$B$1),"&gt;0"))*
IF($B$1-COUNTIF(P16:INDEX(P16:V16,$B$1),"&gt;0")&lt;=2,1,
IF($B$1-COUNTIF(P16:INDEX(P16:V16,$B$1),"&gt;0")=3,0.8,
IF($B$1-COUNTIF(P16:INDEX(P16:V16,$B$1),"&gt;0")=4,0.6,0))))</f>
        <v>62.2</v>
      </c>
      <c r="P16" s="3">
        <v>55</v>
      </c>
      <c r="Q16" s="3">
        <v>42</v>
      </c>
      <c r="R16" s="3">
        <v>49</v>
      </c>
      <c r="S16" s="3">
        <v>58</v>
      </c>
      <c r="T16" s="3">
        <v>54</v>
      </c>
      <c r="U16" s="3">
        <v>53</v>
      </c>
      <c r="W16" s="3">
        <f t="shared" si="10"/>
        <v>100</v>
      </c>
      <c r="X16" s="3" t="s">
        <v>15</v>
      </c>
      <c r="Y16" s="3" t="s">
        <v>15</v>
      </c>
      <c r="Z16" s="3" t="s">
        <v>15</v>
      </c>
      <c r="AA16" s="3" t="s">
        <v>121</v>
      </c>
      <c r="AB16" s="3" t="s">
        <v>121</v>
      </c>
      <c r="AC16" s="3" t="s">
        <v>176</v>
      </c>
      <c r="AE16" s="50">
        <f t="shared" si="11"/>
        <v>212.22222085717357</v>
      </c>
      <c r="AF16" s="12">
        <v>1.3</v>
      </c>
      <c r="AG16" s="12">
        <f t="shared" si="12"/>
        <v>1.1401754250991381</v>
      </c>
      <c r="AH16" s="12">
        <f t="shared" si="13"/>
        <v>30.530949661934752</v>
      </c>
      <c r="AI16" s="12">
        <v>2.4</v>
      </c>
      <c r="AJ16" s="12">
        <f t="shared" si="14"/>
        <v>1.5491933384829668</v>
      </c>
      <c r="AK16" s="12">
        <f t="shared" si="15"/>
        <v>45.823638943300281</v>
      </c>
      <c r="AL16" s="12">
        <v>0.1</v>
      </c>
      <c r="AM16" s="12">
        <f t="shared" si="16"/>
        <v>0.31622776601683794</v>
      </c>
      <c r="AN16" s="12">
        <f t="shared" si="17"/>
        <v>12.802206142256283</v>
      </c>
      <c r="AO16" s="12">
        <v>0.8</v>
      </c>
      <c r="AP16" s="12">
        <f t="shared" si="18"/>
        <v>0.89442719099991586</v>
      </c>
      <c r="AQ16" s="12">
        <f t="shared" si="19"/>
        <v>60.732342408240569</v>
      </c>
      <c r="AR16" s="12">
        <v>0.4</v>
      </c>
      <c r="AS16" s="12">
        <f t="shared" si="20"/>
        <v>0.63245553203367588</v>
      </c>
      <c r="AT16" s="12">
        <f t="shared" si="21"/>
        <v>35.187811103770677</v>
      </c>
      <c r="BA16" s="24">
        <v>65</v>
      </c>
      <c r="BB16" s="12">
        <f t="shared" si="22"/>
        <v>8.0622577482985491</v>
      </c>
      <c r="BC16" s="51">
        <f t="shared" si="23"/>
        <v>27.145272597671013</v>
      </c>
      <c r="BD16" s="22">
        <v>0.57999999999999996</v>
      </c>
      <c r="BE16" s="20">
        <f t="shared" si="24"/>
        <v>0.76157731058639078</v>
      </c>
      <c r="BF16" s="12">
        <f t="shared" si="25"/>
        <v>225.81117737301236</v>
      </c>
      <c r="BJ16" s="24"/>
      <c r="BK16" s="24"/>
      <c r="BL16" s="24">
        <v>3</v>
      </c>
      <c r="BM16" s="12">
        <f t="shared" si="26"/>
        <v>9.9337748344370862</v>
      </c>
      <c r="BN16" s="45">
        <f t="shared" si="27"/>
        <v>-50</v>
      </c>
      <c r="BO16" s="27">
        <v>0</v>
      </c>
      <c r="BP16" s="27">
        <v>-50</v>
      </c>
      <c r="BS16" s="27"/>
      <c r="BT16" s="3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</row>
    <row r="17" spans="1:96" ht="20.100000000000001" customHeight="1" x14ac:dyDescent="0.25">
      <c r="B17" s="1">
        <v>10</v>
      </c>
      <c r="C17" s="44">
        <v>11</v>
      </c>
      <c r="D17" s="1" t="str">
        <f t="shared" si="5"/>
        <v>▼1</v>
      </c>
      <c r="E17" s="2" t="s">
        <v>25</v>
      </c>
      <c r="F17" s="47">
        <f t="shared" si="9"/>
        <v>1214.6101688785698</v>
      </c>
      <c r="G17" s="15">
        <f>IF(COUNTIF(H17:INDEX(H17:N17,$B$1),"&gt;0")=0,0,
(SUMIF(H17:INDEX(H17:N17,$B$1),"&gt;0",H17:INDEX(H17:N17,$B$1))*$B$1/COUNTIF(H17:INDEX(H17:N17,$B$1),"&gt;0"))*
IF($B$1-COUNTIF(H17:INDEX(H17:N17,$B$1),"&gt;0")&lt;=2,1,
IF($B$1-COUNTIF(H17:INDEX(H17:N17,$B$1),"&gt;0")=3,0.8,
IF($B$1-COUNTIF(H17:INDEX(H17:N17,$B$1),"&gt;0")=4,0.6,0))))</f>
        <v>476</v>
      </c>
      <c r="H17" s="3">
        <v>70</v>
      </c>
      <c r="I17" s="3">
        <v>68</v>
      </c>
      <c r="J17" s="3">
        <v>78</v>
      </c>
      <c r="K17" s="3">
        <v>108</v>
      </c>
      <c r="L17" s="3">
        <v>64</v>
      </c>
      <c r="M17" s="3">
        <v>88</v>
      </c>
      <c r="N17" s="3"/>
      <c r="O17" s="12">
        <f>0.2*IF(COUNTIF(P17:INDEX(P17:V17,$B$1),"&gt;0")=0,0,
(SUMIF(P17:INDEX(P17:V17,$B$1),"&gt;0",P17:INDEX(P17:V17,$B$1))*$B$1/COUNTIF(P17:INDEX(P17:V17,$B$1),"&gt;0"))*
IF($B$1-COUNTIF(P17:INDEX(P17:V17,$B$1),"&gt;0")&lt;=2,1,
IF($B$1-COUNTIF(P17:INDEX(P17:V17,$B$1),"&gt;0")=3,0.8,
IF($B$1-COUNTIF(P17:INDEX(P17:V17,$B$1),"&gt;0")=4,0.6,0))))</f>
        <v>55.400000000000006</v>
      </c>
      <c r="P17" s="3">
        <v>45</v>
      </c>
      <c r="Q17" s="3">
        <v>40</v>
      </c>
      <c r="R17" s="3">
        <v>47</v>
      </c>
      <c r="S17" s="3">
        <v>48</v>
      </c>
      <c r="T17" s="3">
        <v>49</v>
      </c>
      <c r="U17" s="3">
        <v>48</v>
      </c>
      <c r="W17" s="3">
        <f t="shared" si="10"/>
        <v>100</v>
      </c>
      <c r="X17" s="3" t="s">
        <v>17</v>
      </c>
      <c r="Y17" s="3" t="s">
        <v>17</v>
      </c>
      <c r="Z17" s="3" t="s">
        <v>17</v>
      </c>
      <c r="AA17" s="3" t="s">
        <v>123</v>
      </c>
      <c r="AB17" s="3" t="s">
        <v>123</v>
      </c>
      <c r="AC17" s="3" t="s">
        <v>176</v>
      </c>
      <c r="AE17" s="50">
        <f t="shared" si="11"/>
        <v>218.78215693757983</v>
      </c>
      <c r="AF17" s="12">
        <v>1.8</v>
      </c>
      <c r="AG17" s="12">
        <f t="shared" si="12"/>
        <v>1.3416407864998738</v>
      </c>
      <c r="AH17" s="12">
        <f t="shared" si="13"/>
        <v>35.925671098782537</v>
      </c>
      <c r="AI17" s="12"/>
      <c r="AJ17" s="12">
        <f t="shared" si="14"/>
        <v>0</v>
      </c>
      <c r="AK17" s="12">
        <f t="shared" si="15"/>
        <v>0</v>
      </c>
      <c r="AL17" s="12">
        <v>1.5</v>
      </c>
      <c r="AM17" s="12">
        <f t="shared" si="16"/>
        <v>1.2247448713915889</v>
      </c>
      <c r="AN17" s="12">
        <f t="shared" si="17"/>
        <v>49.582731183672884</v>
      </c>
      <c r="AO17" s="12">
        <v>0.9</v>
      </c>
      <c r="AP17" s="12">
        <f t="shared" si="18"/>
        <v>0.94868329805051377</v>
      </c>
      <c r="AQ17" s="12">
        <f t="shared" si="19"/>
        <v>64.416376731315367</v>
      </c>
      <c r="AR17" s="12">
        <v>0.4</v>
      </c>
      <c r="AS17" s="12">
        <f t="shared" si="20"/>
        <v>0.63245553203367588</v>
      </c>
      <c r="AT17" s="12">
        <f t="shared" si="21"/>
        <v>35.187811103770677</v>
      </c>
      <c r="BA17" s="24">
        <v>100</v>
      </c>
      <c r="BB17" s="12">
        <f t="shared" si="22"/>
        <v>10</v>
      </c>
      <c r="BC17" s="51">
        <f t="shared" si="23"/>
        <v>33.669566820038376</v>
      </c>
      <c r="BD17" s="22">
        <v>1.08</v>
      </c>
      <c r="BE17" s="20">
        <f t="shared" si="24"/>
        <v>1.0392304845413265</v>
      </c>
      <c r="BF17" s="12">
        <f t="shared" si="25"/>
        <v>308.13662121251298</v>
      </c>
      <c r="BJ17" s="24"/>
      <c r="BK17" s="24"/>
      <c r="BL17" s="24">
        <v>17</v>
      </c>
      <c r="BM17" s="12">
        <f t="shared" si="26"/>
        <v>56.291390728476827</v>
      </c>
      <c r="BN17" s="45">
        <f t="shared" si="27"/>
        <v>0</v>
      </c>
      <c r="BO17" s="27">
        <v>0</v>
      </c>
      <c r="BP17" s="27">
        <v>0</v>
      </c>
      <c r="BS17" s="27"/>
      <c r="BT17" s="3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</row>
    <row r="18" spans="1:96" ht="20.100000000000001" customHeight="1" x14ac:dyDescent="0.25">
      <c r="B18" s="1">
        <v>14</v>
      </c>
      <c r="C18" s="44">
        <v>12</v>
      </c>
      <c r="D18" s="1" t="str">
        <f t="shared" si="5"/>
        <v>▲2</v>
      </c>
      <c r="E18" s="2" t="s">
        <v>18</v>
      </c>
      <c r="F18" s="47">
        <f t="shared" si="9"/>
        <v>1186.7324527386675</v>
      </c>
      <c r="G18" s="15">
        <f>IF(COUNTIF(H18:INDEX(H18:N18,$B$1),"&gt;0")=0,0,
(SUMIF(H18:INDEX(H18:N18,$B$1),"&gt;0",H18:INDEX(H18:N18,$B$1))*$B$1/COUNTIF(H18:INDEX(H18:N18,$B$1),"&gt;0"))*
IF($B$1-COUNTIF(H18:INDEX(H18:N18,$B$1),"&gt;0")&lt;=2,1,
IF($B$1-COUNTIF(H18:INDEX(H18:N18,$B$1),"&gt;0")=3,0.8,
IF($B$1-COUNTIF(H18:INDEX(H18:N18,$B$1),"&gt;0")=4,0.6,0))))</f>
        <v>576</v>
      </c>
      <c r="H18" s="3">
        <v>78</v>
      </c>
      <c r="I18" s="3">
        <v>98</v>
      </c>
      <c r="J18" s="3">
        <v>81</v>
      </c>
      <c r="K18" s="3">
        <v>104</v>
      </c>
      <c r="L18" s="3">
        <v>105</v>
      </c>
      <c r="M18" s="3">
        <v>110</v>
      </c>
      <c r="N18" s="3"/>
      <c r="O18" s="12">
        <f>0.2*IF(COUNTIF(P18:INDEX(P18:V18,$B$1),"&gt;0")=0,0,
(SUMIF(P18:INDEX(P18:V18,$B$1),"&gt;0",P18:INDEX(P18:V18,$B$1))*$B$1/COUNTIF(P18:INDEX(P18:V18,$B$1),"&gt;0"))*
IF($B$1-COUNTIF(P18:INDEX(P18:V18,$B$1),"&gt;0")&lt;=2,1,
IF($B$1-COUNTIF(P18:INDEX(P18:V18,$B$1),"&gt;0")=3,0.8,
IF($B$1-COUNTIF(P18:INDEX(P18:V18,$B$1),"&gt;0")=4,0.6,0))))</f>
        <v>55.400000000000006</v>
      </c>
      <c r="P18" s="3">
        <v>48</v>
      </c>
      <c r="Q18" s="3">
        <v>41</v>
      </c>
      <c r="R18" s="3">
        <v>46</v>
      </c>
      <c r="S18" s="3">
        <v>48</v>
      </c>
      <c r="T18" s="3">
        <v>47</v>
      </c>
      <c r="U18" s="3">
        <v>47</v>
      </c>
      <c r="W18" s="3">
        <f t="shared" si="10"/>
        <v>100</v>
      </c>
      <c r="X18" s="3" t="s">
        <v>17</v>
      </c>
      <c r="Y18" s="3" t="s">
        <v>17</v>
      </c>
      <c r="Z18" s="3" t="s">
        <v>17</v>
      </c>
      <c r="AA18" s="3" t="s">
        <v>123</v>
      </c>
      <c r="AB18" s="3" t="s">
        <v>123</v>
      </c>
      <c r="AC18" s="3" t="s">
        <v>176</v>
      </c>
      <c r="AE18" s="50">
        <f t="shared" si="11"/>
        <v>221.44886103182972</v>
      </c>
      <c r="AF18" s="12">
        <v>5.6</v>
      </c>
      <c r="AG18" s="12">
        <f t="shared" si="12"/>
        <v>2.3664319132398464</v>
      </c>
      <c r="AH18" s="12">
        <f t="shared" si="13"/>
        <v>63.366927606986103</v>
      </c>
      <c r="AI18" s="12">
        <v>3.6</v>
      </c>
      <c r="AJ18" s="12">
        <f t="shared" si="14"/>
        <v>1.8973665961010275</v>
      </c>
      <c r="AK18" s="12">
        <f t="shared" si="15"/>
        <v>56.122266784306909</v>
      </c>
      <c r="AM18" s="12">
        <f t="shared" si="16"/>
        <v>0</v>
      </c>
      <c r="AN18" s="12">
        <f t="shared" si="17"/>
        <v>0</v>
      </c>
      <c r="AO18" s="12">
        <v>0.7</v>
      </c>
      <c r="AP18" s="12">
        <f t="shared" si="18"/>
        <v>0.83666002653407556</v>
      </c>
      <c r="AQ18" s="12">
        <f t="shared" si="19"/>
        <v>56.809904396969408</v>
      </c>
      <c r="AR18" s="12">
        <v>0.3</v>
      </c>
      <c r="AS18" s="12">
        <f t="shared" si="20"/>
        <v>0.54772255750516607</v>
      </c>
      <c r="AT18" s="12">
        <f t="shared" si="21"/>
        <v>30.473538319433555</v>
      </c>
      <c r="BA18" s="24">
        <v>19</v>
      </c>
      <c r="BB18" s="12">
        <f t="shared" si="22"/>
        <v>4.358898943540674</v>
      </c>
      <c r="BC18" s="51">
        <f t="shared" si="23"/>
        <v>14.67622392413374</v>
      </c>
      <c r="BD18" s="22">
        <v>0.4</v>
      </c>
      <c r="BE18" s="20">
        <f t="shared" si="24"/>
        <v>0.63245553203367588</v>
      </c>
      <c r="BF18" s="12">
        <f t="shared" si="25"/>
        <v>187.52597581279801</v>
      </c>
      <c r="BJ18" s="24"/>
      <c r="BK18" s="24"/>
      <c r="BL18" s="24">
        <v>14</v>
      </c>
      <c r="BM18" s="12">
        <f t="shared" si="26"/>
        <v>46.357615894039739</v>
      </c>
      <c r="BN18" s="45">
        <f t="shared" si="27"/>
        <v>0</v>
      </c>
      <c r="BO18" s="27">
        <v>0</v>
      </c>
      <c r="BP18" s="27">
        <v>0</v>
      </c>
      <c r="BS18" s="27"/>
      <c r="BT18" s="3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</row>
    <row r="19" spans="1:96" ht="20.100000000000001" customHeight="1" x14ac:dyDescent="0.25">
      <c r="B19" s="1">
        <v>7</v>
      </c>
      <c r="C19" s="44">
        <v>13</v>
      </c>
      <c r="D19" s="1" t="str">
        <f t="shared" si="5"/>
        <v>▼6</v>
      </c>
      <c r="E19" s="2" t="s">
        <v>31</v>
      </c>
      <c r="F19" s="47">
        <f t="shared" si="9"/>
        <v>1169.0248178376166</v>
      </c>
      <c r="G19" s="15">
        <f>IF(COUNTIF(H19:INDEX(H19:N19,$B$1),"&gt;0")=0,0,
(SUMIF(H19:INDEX(H19:N19,$B$1),"&gt;0",H19:INDEX(H19:N19,$B$1))*$B$1/COUNTIF(H19:INDEX(H19:N19,$B$1),"&gt;0"))*
IF($B$1-COUNTIF(H19:INDEX(H19:N19,$B$1),"&gt;0")&lt;=2,1,
IF($B$1-COUNTIF(H19:INDEX(H19:N19,$B$1),"&gt;0")=3,0.8,
IF($B$1-COUNTIF(H19:INDEX(H19:N19,$B$1),"&gt;0")=4,0.6,0))))</f>
        <v>392</v>
      </c>
      <c r="H19" s="3">
        <v>69</v>
      </c>
      <c r="I19" s="3">
        <v>63</v>
      </c>
      <c r="J19" s="3">
        <v>64</v>
      </c>
      <c r="K19" s="3">
        <v>86</v>
      </c>
      <c r="L19" s="3">
        <v>61</v>
      </c>
      <c r="M19" s="3">
        <v>49</v>
      </c>
      <c r="N19" s="3"/>
      <c r="O19" s="12">
        <f>0.2*IF(COUNTIF(P19:INDEX(P19:V19,$B$1),"&gt;0")=0,0,
(SUMIF(P19:INDEX(P19:V19,$B$1),"&gt;0",P19:INDEX(P19:V19,$B$1))*$B$1/COUNTIF(P19:INDEX(P19:V19,$B$1),"&gt;0"))*
IF($B$1-COUNTIF(P19:INDEX(P19:V19,$B$1),"&gt;0")&lt;=2,1,
IF($B$1-COUNTIF(P19:INDEX(P19:V19,$B$1),"&gt;0")=3,0.8,
IF($B$1-COUNTIF(P19:INDEX(P19:V19,$B$1),"&gt;0")=4,0.6,0))))</f>
        <v>54.800000000000004</v>
      </c>
      <c r="P19" s="3">
        <v>47</v>
      </c>
      <c r="Q19" s="3">
        <v>39</v>
      </c>
      <c r="R19" s="3">
        <v>48</v>
      </c>
      <c r="S19" s="3">
        <v>45</v>
      </c>
      <c r="T19" s="3">
        <v>46</v>
      </c>
      <c r="U19" s="3">
        <v>49</v>
      </c>
      <c r="W19" s="3">
        <f t="shared" si="10"/>
        <v>100</v>
      </c>
      <c r="X19" s="3" t="s">
        <v>15</v>
      </c>
      <c r="Y19" s="3" t="s">
        <v>15</v>
      </c>
      <c r="Z19" s="3" t="s">
        <v>15</v>
      </c>
      <c r="AA19" s="3" t="s">
        <v>121</v>
      </c>
      <c r="AB19" s="3" t="s">
        <v>121</v>
      </c>
      <c r="AC19" s="3" t="s">
        <v>176</v>
      </c>
      <c r="AE19" s="50">
        <f t="shared" si="11"/>
        <v>242.73062678118822</v>
      </c>
      <c r="AF19" s="12">
        <v>2.7</v>
      </c>
      <c r="AG19" s="12">
        <f t="shared" si="12"/>
        <v>1.6431676725154984</v>
      </c>
      <c r="AH19" s="12">
        <f t="shared" si="13"/>
        <v>43.999781429534941</v>
      </c>
      <c r="AI19" s="12">
        <v>2.5</v>
      </c>
      <c r="AJ19" s="12">
        <f t="shared" si="14"/>
        <v>1.5811388300841898</v>
      </c>
      <c r="AK19" s="12">
        <f t="shared" si="15"/>
        <v>46.768555653589097</v>
      </c>
      <c r="AL19" s="12">
        <v>1.6</v>
      </c>
      <c r="AM19" s="12">
        <f t="shared" si="16"/>
        <v>1.2649110640673518</v>
      </c>
      <c r="AN19" s="12">
        <f t="shared" si="17"/>
        <v>51.208824569025133</v>
      </c>
      <c r="AP19" s="12">
        <f t="shared" si="18"/>
        <v>0</v>
      </c>
      <c r="AQ19" s="12">
        <f t="shared" si="19"/>
        <v>0</v>
      </c>
      <c r="AR19" s="12">
        <v>0.9</v>
      </c>
      <c r="AS19" s="12">
        <f t="shared" si="20"/>
        <v>0.94868329805051377</v>
      </c>
      <c r="AT19" s="12">
        <f t="shared" si="21"/>
        <v>52.781716655656012</v>
      </c>
      <c r="BA19" s="24">
        <v>203</v>
      </c>
      <c r="BB19" s="12">
        <f t="shared" si="22"/>
        <v>14.247806848775006</v>
      </c>
      <c r="BC19" s="51">
        <f t="shared" si="23"/>
        <v>47.971748473383052</v>
      </c>
      <c r="BD19" s="22">
        <v>1.1399999999999999</v>
      </c>
      <c r="BE19" s="20">
        <f t="shared" si="24"/>
        <v>1.0677078252031311</v>
      </c>
      <c r="BF19" s="12">
        <f t="shared" si="25"/>
        <v>316.58028377166039</v>
      </c>
      <c r="BJ19" s="24"/>
      <c r="BK19" s="24"/>
      <c r="BL19" s="24">
        <v>19</v>
      </c>
      <c r="BM19" s="12">
        <f t="shared" si="26"/>
        <v>62.913907284768214</v>
      </c>
      <c r="BN19" s="45">
        <f t="shared" si="27"/>
        <v>0</v>
      </c>
      <c r="BO19" s="27">
        <v>0</v>
      </c>
      <c r="BP19" s="27">
        <v>0</v>
      </c>
      <c r="BS19" s="27"/>
      <c r="BT19" s="3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</row>
    <row r="20" spans="1:96" ht="20.100000000000001" customHeight="1" x14ac:dyDescent="0.25">
      <c r="B20" s="1">
        <v>13</v>
      </c>
      <c r="C20" s="44">
        <v>14</v>
      </c>
      <c r="D20" s="1" t="str">
        <f t="shared" si="5"/>
        <v>▼1</v>
      </c>
      <c r="E20" s="2" t="s">
        <v>20</v>
      </c>
      <c r="F20" s="47">
        <f t="shared" si="9"/>
        <v>1154.9554615142326</v>
      </c>
      <c r="G20" s="15">
        <f>IF(COUNTIF(H20:INDEX(H20:N20,$B$1),"&gt;0")=0,0,
(SUMIF(H20:INDEX(H20:N20,$B$1),"&gt;0",H20:INDEX(H20:N20,$B$1))*$B$1/COUNTIF(H20:INDEX(H20:N20,$B$1),"&gt;0"))*
IF($B$1-COUNTIF(H20:INDEX(H20:N20,$B$1),"&gt;0")&lt;=2,1,
IF($B$1-COUNTIF(H20:INDEX(H20:N20,$B$1),"&gt;0")=3,0.8,
IF($B$1-COUNTIF(H20:INDEX(H20:N20,$B$1),"&gt;0")=4,0.6,0))))</f>
        <v>500</v>
      </c>
      <c r="H20" s="3">
        <v>94</v>
      </c>
      <c r="I20" s="3">
        <v>63</v>
      </c>
      <c r="J20" s="3">
        <v>73</v>
      </c>
      <c r="K20" s="3">
        <v>115</v>
      </c>
      <c r="L20" s="3">
        <v>79</v>
      </c>
      <c r="M20" s="3">
        <v>76</v>
      </c>
      <c r="N20" s="3"/>
      <c r="O20" s="12">
        <f>0.2*IF(COUNTIF(P20:INDEX(P20:V20,$B$1),"&gt;0")=0,0,
(SUMIF(P20:INDEX(P20:V20,$B$1),"&gt;0",P20:INDEX(P20:V20,$B$1))*$B$1/COUNTIF(P20:INDEX(P20:V20,$B$1),"&gt;0"))*
IF($B$1-COUNTIF(P20:INDEX(P20:V20,$B$1),"&gt;0")&lt;=2,1,
IF($B$1-COUNTIF(P20:INDEX(P20:V20,$B$1),"&gt;0")=3,0.8,
IF($B$1-COUNTIF(P20:INDEX(P20:V20,$B$1),"&gt;0")=4,0.6,0))))</f>
        <v>73</v>
      </c>
      <c r="P20" s="3">
        <v>58</v>
      </c>
      <c r="Q20" s="3">
        <v>53</v>
      </c>
      <c r="R20" s="3">
        <v>65</v>
      </c>
      <c r="S20" s="3">
        <v>64</v>
      </c>
      <c r="T20" s="3">
        <v>65</v>
      </c>
      <c r="U20" s="3">
        <v>60</v>
      </c>
      <c r="W20" s="3">
        <f t="shared" si="10"/>
        <v>100</v>
      </c>
      <c r="X20" s="3" t="s">
        <v>15</v>
      </c>
      <c r="Y20" s="3" t="s">
        <v>15</v>
      </c>
      <c r="Z20" s="3" t="s">
        <v>15</v>
      </c>
      <c r="AA20" s="3" t="s">
        <v>121</v>
      </c>
      <c r="AB20" s="3" t="s">
        <v>121</v>
      </c>
      <c r="AC20" s="3" t="s">
        <v>176</v>
      </c>
      <c r="AE20" s="50">
        <f t="shared" si="11"/>
        <v>223.0504953694724</v>
      </c>
      <c r="AF20" s="12">
        <v>1.5</v>
      </c>
      <c r="AG20" s="12">
        <f t="shared" si="12"/>
        <v>1.2247448713915889</v>
      </c>
      <c r="AH20" s="12">
        <f t="shared" si="13"/>
        <v>32.795500757191</v>
      </c>
      <c r="AI20" s="12">
        <v>0.8</v>
      </c>
      <c r="AJ20" s="12">
        <f t="shared" si="14"/>
        <v>0.89442719099991586</v>
      </c>
      <c r="AK20" s="12">
        <f t="shared" si="15"/>
        <v>26.456290279162634</v>
      </c>
      <c r="AL20" s="12">
        <v>1.3</v>
      </c>
      <c r="AM20" s="12">
        <f t="shared" si="16"/>
        <v>1.1401754250991381</v>
      </c>
      <c r="AN20" s="12">
        <f t="shared" si="17"/>
        <v>46.159010684965061</v>
      </c>
      <c r="AO20" s="12">
        <v>0.7</v>
      </c>
      <c r="AP20" s="12">
        <f t="shared" si="18"/>
        <v>0.83666002653407556</v>
      </c>
      <c r="AQ20" s="12">
        <f t="shared" si="19"/>
        <v>56.809904396969408</v>
      </c>
      <c r="AR20" s="12">
        <v>0.4</v>
      </c>
      <c r="AS20" s="12">
        <f t="shared" si="20"/>
        <v>0.63245553203367588</v>
      </c>
      <c r="AT20" s="12">
        <f t="shared" si="21"/>
        <v>35.187811103770677</v>
      </c>
      <c r="BA20" s="24">
        <v>58</v>
      </c>
      <c r="BB20" s="12">
        <f t="shared" si="22"/>
        <v>7.6157731058639087</v>
      </c>
      <c r="BC20" s="51">
        <f t="shared" si="23"/>
        <v>25.64197814741361</v>
      </c>
      <c r="BD20" s="22">
        <v>0.53</v>
      </c>
      <c r="BE20" s="20">
        <f t="shared" si="24"/>
        <v>0.72801098892805183</v>
      </c>
      <c r="BF20" s="12">
        <f t="shared" si="25"/>
        <v>215.85860852886617</v>
      </c>
      <c r="BJ20" s="24"/>
      <c r="BK20" s="24"/>
      <c r="BL20" s="24">
        <v>13</v>
      </c>
      <c r="BM20" s="12">
        <f t="shared" si="26"/>
        <v>43.046357615894038</v>
      </c>
      <c r="BN20" s="45">
        <f t="shared" si="27"/>
        <v>0</v>
      </c>
      <c r="BO20" s="27">
        <v>0</v>
      </c>
      <c r="BP20" s="27">
        <v>0</v>
      </c>
      <c r="BS20" s="27"/>
      <c r="BT20" s="3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</row>
    <row r="21" spans="1:96" ht="20.100000000000001" customHeight="1" x14ac:dyDescent="0.25">
      <c r="B21" s="1">
        <v>15</v>
      </c>
      <c r="C21" s="44">
        <v>15</v>
      </c>
      <c r="D21" s="1" t="str">
        <f t="shared" si="5"/>
        <v>—</v>
      </c>
      <c r="E21" s="2" t="s">
        <v>34</v>
      </c>
      <c r="F21" s="47">
        <f t="shared" si="9"/>
        <v>1052.5267310384443</v>
      </c>
      <c r="G21" s="15">
        <f>IF(COUNTIF(H21:INDEX(H21:N21,$B$1),"&gt;0")=0,0,
(SUMIF(H21:INDEX(H21:N21,$B$1),"&gt;0",H21:INDEX(H21:N21,$B$1))*$B$1/COUNTIF(H21:INDEX(H21:N21,$B$1),"&gt;0"))*
IF($B$1-COUNTIF(H21:INDEX(H21:N21,$B$1),"&gt;0")&lt;=2,1,
IF($B$1-COUNTIF(H21:INDEX(H21:N21,$B$1),"&gt;0")=3,0.8,
IF($B$1-COUNTIF(H21:INDEX(H21:N21,$B$1),"&gt;0")=4,0.6,0))))</f>
        <v>559</v>
      </c>
      <c r="H21" s="3">
        <v>65</v>
      </c>
      <c r="I21" s="3">
        <v>63</v>
      </c>
      <c r="J21" s="3">
        <v>117</v>
      </c>
      <c r="K21" s="3">
        <v>135</v>
      </c>
      <c r="L21" s="3">
        <v>86</v>
      </c>
      <c r="M21" s="3">
        <v>93</v>
      </c>
      <c r="N21" s="3"/>
      <c r="O21" s="12">
        <f>0.2*IF(COUNTIF(P21:INDEX(P21:V21,$B$1),"&gt;0")=0,0,
(SUMIF(P21:INDEX(P21:V21,$B$1),"&gt;0",P21:INDEX(P21:V21,$B$1))*$B$1/COUNTIF(P21:INDEX(P21:V21,$B$1),"&gt;0"))*
IF($B$1-COUNTIF(P21:INDEX(P21:V21,$B$1),"&gt;0")&lt;=2,1,
IF($B$1-COUNTIF(P21:INDEX(P21:V21,$B$1),"&gt;0")=3,0.8,
IF($B$1-COUNTIF(P21:INDEX(P21:V21,$B$1),"&gt;0")=4,0.6,0))))</f>
        <v>58.800000000000004</v>
      </c>
      <c r="P21" s="3">
        <v>52</v>
      </c>
      <c r="Q21" s="3">
        <v>47</v>
      </c>
      <c r="R21" s="3">
        <v>51</v>
      </c>
      <c r="S21" s="3">
        <v>56</v>
      </c>
      <c r="T21" s="3">
        <v>48</v>
      </c>
      <c r="U21" s="3">
        <v>40</v>
      </c>
      <c r="W21" s="3">
        <f t="shared" si="10"/>
        <v>60</v>
      </c>
      <c r="X21" s="3"/>
      <c r="AA21" s="3" t="s">
        <v>123</v>
      </c>
      <c r="AB21" s="3" t="s">
        <v>123</v>
      </c>
      <c r="AC21" s="3" t="s">
        <v>176</v>
      </c>
      <c r="AE21" s="50">
        <f t="shared" si="11"/>
        <v>163.28233949741301</v>
      </c>
      <c r="AF21" s="12">
        <v>5.5</v>
      </c>
      <c r="AG21" s="12">
        <f t="shared" si="12"/>
        <v>2.3452078799117149</v>
      </c>
      <c r="AH21" s="12">
        <f t="shared" si="13"/>
        <v>62.798602874756362</v>
      </c>
      <c r="AI21" s="12"/>
      <c r="AJ21" s="12">
        <f t="shared" si="14"/>
        <v>0</v>
      </c>
      <c r="AK21" s="12">
        <f t="shared" si="15"/>
        <v>0</v>
      </c>
      <c r="AL21" s="12">
        <v>1.1000000000000001</v>
      </c>
      <c r="AM21" s="12">
        <f t="shared" si="16"/>
        <v>1.0488088481701516</v>
      </c>
      <c r="AN21" s="12">
        <f t="shared" si="17"/>
        <v>42.460114262647359</v>
      </c>
      <c r="AP21" s="12">
        <f t="shared" si="18"/>
        <v>0</v>
      </c>
      <c r="AQ21" s="12">
        <f t="shared" si="19"/>
        <v>0</v>
      </c>
      <c r="AR21" s="12">
        <v>0.4</v>
      </c>
      <c r="AS21" s="12">
        <f t="shared" si="20"/>
        <v>0.63245553203367588</v>
      </c>
      <c r="AT21" s="12">
        <f t="shared" si="21"/>
        <v>35.187811103770677</v>
      </c>
      <c r="BA21" s="24">
        <v>46</v>
      </c>
      <c r="BB21" s="12">
        <f t="shared" si="22"/>
        <v>6.7823299831252681</v>
      </c>
      <c r="BC21" s="51">
        <f t="shared" si="23"/>
        <v>22.835811256238596</v>
      </c>
      <c r="BD21" s="22">
        <v>0.31</v>
      </c>
      <c r="BE21" s="20">
        <f t="shared" si="24"/>
        <v>0.55677643628300222</v>
      </c>
      <c r="BF21" s="12">
        <f t="shared" si="25"/>
        <v>165.08677564699158</v>
      </c>
      <c r="BJ21" s="24"/>
      <c r="BK21" s="24"/>
      <c r="BL21" s="24">
        <v>14</v>
      </c>
      <c r="BM21" s="12">
        <f t="shared" si="26"/>
        <v>46.357615894039739</v>
      </c>
      <c r="BN21" s="45">
        <f t="shared" si="27"/>
        <v>0</v>
      </c>
      <c r="BO21" s="27">
        <v>0</v>
      </c>
      <c r="BP21" s="27">
        <v>0</v>
      </c>
      <c r="BS21" s="27"/>
      <c r="BT21" s="3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</row>
    <row r="22" spans="1:96" ht="20.100000000000001" customHeight="1" x14ac:dyDescent="0.25">
      <c r="B22" s="1">
        <v>16</v>
      </c>
      <c r="C22" s="44">
        <v>16</v>
      </c>
      <c r="D22" s="1" t="str">
        <f t="shared" si="5"/>
        <v>—</v>
      </c>
      <c r="E22" s="2" t="s">
        <v>38</v>
      </c>
      <c r="F22" s="47">
        <f t="shared" si="9"/>
        <v>909.29774771399184</v>
      </c>
      <c r="G22" s="15">
        <f>IF(COUNTIF(H22:INDEX(H22:N22,$B$1),"&gt;0")=0,0,
(SUMIF(H22:INDEX(H22:N22,$B$1),"&gt;0",H22:INDEX(H22:N22,$B$1))*$B$1/COUNTIF(H22:INDEX(H22:N22,$B$1),"&gt;0"))*
IF($B$1-COUNTIF(H22:INDEX(H22:N22,$B$1),"&gt;0")&lt;=2,1,
IF($B$1-COUNTIF(H22:INDEX(H22:N22,$B$1),"&gt;0")=3,0.8,
IF($B$1-COUNTIF(H22:INDEX(H22:N22,$B$1),"&gt;0")=4,0.6,0))))</f>
        <v>463</v>
      </c>
      <c r="H22" s="3">
        <v>58</v>
      </c>
      <c r="I22" s="3">
        <v>70</v>
      </c>
      <c r="J22" s="3">
        <v>49</v>
      </c>
      <c r="K22" s="3">
        <v>148</v>
      </c>
      <c r="L22" s="3">
        <v>76</v>
      </c>
      <c r="M22" s="3">
        <v>62</v>
      </c>
      <c r="N22" s="3"/>
      <c r="O22" s="12">
        <f>0.2*IF(COUNTIF(P22:INDEX(P22:V22,$B$1),"&gt;0")=0,0,
(SUMIF(P22:INDEX(P22:V22,$B$1),"&gt;0",P22:INDEX(P22:V22,$B$1))*$B$1/COUNTIF(P22:INDEX(P22:V22,$B$1),"&gt;0"))*
IF($B$1-COUNTIF(P22:INDEX(P22:V22,$B$1),"&gt;0")&lt;=2,1,
IF($B$1-COUNTIF(P22:INDEX(P22:V22,$B$1),"&gt;0")=3,0.8,
IF($B$1-COUNTIF(P22:INDEX(P22:V22,$B$1),"&gt;0")=4,0.6,0))))</f>
        <v>52.6</v>
      </c>
      <c r="P22" s="3">
        <v>51</v>
      </c>
      <c r="Q22" s="3">
        <v>36</v>
      </c>
      <c r="R22" s="3">
        <v>36</v>
      </c>
      <c r="S22" s="3">
        <v>47</v>
      </c>
      <c r="T22" s="3">
        <v>46</v>
      </c>
      <c r="U22" s="3">
        <v>47</v>
      </c>
      <c r="W22" s="3">
        <f t="shared" si="10"/>
        <v>100</v>
      </c>
      <c r="X22" s="3" t="s">
        <v>15</v>
      </c>
      <c r="Y22" s="3" t="s">
        <v>17</v>
      </c>
      <c r="Z22" s="3" t="s">
        <v>17</v>
      </c>
      <c r="AA22" s="3" t="s">
        <v>124</v>
      </c>
      <c r="AB22" s="3" t="s">
        <v>123</v>
      </c>
      <c r="AC22" s="3" t="s">
        <v>176</v>
      </c>
      <c r="AE22" s="50">
        <f t="shared" si="11"/>
        <v>57.283745682039125</v>
      </c>
      <c r="AG22" s="12">
        <f t="shared" si="12"/>
        <v>0</v>
      </c>
      <c r="AH22" s="12">
        <f t="shared" si="13"/>
        <v>0</v>
      </c>
      <c r="AI22" s="12">
        <v>1.2</v>
      </c>
      <c r="AJ22" s="12">
        <f t="shared" si="14"/>
        <v>1.0954451150103321</v>
      </c>
      <c r="AK22" s="12">
        <f t="shared" si="15"/>
        <v>32.402205835451589</v>
      </c>
      <c r="AM22" s="12">
        <f t="shared" si="16"/>
        <v>0</v>
      </c>
      <c r="AN22" s="12">
        <f t="shared" si="17"/>
        <v>0</v>
      </c>
      <c r="AP22" s="12">
        <f t="shared" si="18"/>
        <v>0</v>
      </c>
      <c r="AQ22" s="12">
        <f t="shared" si="19"/>
        <v>0</v>
      </c>
      <c r="AR22" s="12">
        <v>0.2</v>
      </c>
      <c r="AS22" s="12">
        <f t="shared" si="20"/>
        <v>0.44721359549995793</v>
      </c>
      <c r="AT22" s="12">
        <f t="shared" si="21"/>
        <v>24.88153984658754</v>
      </c>
      <c r="BB22" s="12">
        <f t="shared" si="22"/>
        <v>0</v>
      </c>
      <c r="BC22" s="51">
        <f t="shared" si="23"/>
        <v>0</v>
      </c>
      <c r="BD22" s="22">
        <v>0.44</v>
      </c>
      <c r="BE22" s="20">
        <f t="shared" si="24"/>
        <v>0.66332495807107994</v>
      </c>
      <c r="BF22" s="12">
        <f t="shared" si="25"/>
        <v>196.67890269420437</v>
      </c>
      <c r="BJ22" s="24"/>
      <c r="BK22" s="24"/>
      <c r="BL22" s="24">
        <v>12</v>
      </c>
      <c r="BM22" s="12">
        <f t="shared" si="26"/>
        <v>39.735099337748345</v>
      </c>
      <c r="BN22" s="45">
        <f t="shared" si="27"/>
        <v>0</v>
      </c>
      <c r="BO22" s="27">
        <v>0</v>
      </c>
      <c r="BP22" s="27">
        <v>0</v>
      </c>
      <c r="BS22" s="27"/>
      <c r="BT22" s="3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</row>
    <row r="23" spans="1:96" ht="20.100000000000001" customHeight="1" x14ac:dyDescent="0.25">
      <c r="B23" s="1">
        <v>22</v>
      </c>
      <c r="C23" s="44">
        <v>17</v>
      </c>
      <c r="D23" s="1" t="str">
        <f t="shared" si="5"/>
        <v>▲5</v>
      </c>
      <c r="E23" s="2" t="s">
        <v>29</v>
      </c>
      <c r="F23" s="47">
        <f t="shared" si="9"/>
        <v>802.16676921264695</v>
      </c>
      <c r="G23" s="15">
        <f>IF(COUNTIF(H23:INDEX(H23:N23,$B$1),"&gt;0")=0,0,
(SUMIF(H23:INDEX(H23:N23,$B$1),"&gt;0",H23:INDEX(H23:N23,$B$1))*$B$1/COUNTIF(H23:INDEX(H23:N23,$B$1),"&gt;0"))*
IF($B$1-COUNTIF(H23:INDEX(H23:N23,$B$1),"&gt;0")&lt;=2,1,
IF($B$1-COUNTIF(H23:INDEX(H23:N23,$B$1),"&gt;0")=3,0.8,
IF($B$1-COUNTIF(H23:INDEX(H23:N23,$B$1),"&gt;0")=4,0.6,0))))</f>
        <v>364</v>
      </c>
      <c r="H23" s="3">
        <v>51</v>
      </c>
      <c r="I23" s="3">
        <v>72</v>
      </c>
      <c r="J23" s="3">
        <v>87</v>
      </c>
      <c r="K23" s="3">
        <v>60</v>
      </c>
      <c r="L23" s="3">
        <v>50</v>
      </c>
      <c r="M23" s="3">
        <v>44</v>
      </c>
      <c r="N23" s="3"/>
      <c r="O23" s="12">
        <f>0.2*IF(COUNTIF(P23:INDEX(P23:V23,$B$1),"&gt;0")=0,0,
(SUMIF(P23:INDEX(P23:V23,$B$1),"&gt;0",P23:INDEX(P23:V23,$B$1))*$B$1/COUNTIF(P23:INDEX(P23:V23,$B$1),"&gt;0"))*
IF($B$1-COUNTIF(P23:INDEX(P23:V23,$B$1),"&gt;0")&lt;=2,1,
IF($B$1-COUNTIF(P23:INDEX(P23:V23,$B$1),"&gt;0")=3,0.8,
IF($B$1-COUNTIF(P23:INDEX(P23:V23,$B$1),"&gt;0")=4,0.6,0))))</f>
        <v>54.800000000000004</v>
      </c>
      <c r="P23" s="3">
        <v>45</v>
      </c>
      <c r="Q23" s="3">
        <v>39</v>
      </c>
      <c r="R23" s="3">
        <v>50</v>
      </c>
      <c r="S23" s="3">
        <v>55</v>
      </c>
      <c r="T23" s="3">
        <v>44</v>
      </c>
      <c r="U23" s="3">
        <v>41</v>
      </c>
      <c r="W23" s="3">
        <f t="shared" si="10"/>
        <v>90</v>
      </c>
      <c r="X23" s="3" t="s">
        <v>15</v>
      </c>
      <c r="Y23" s="3" t="s">
        <v>15</v>
      </c>
      <c r="Z23" s="3" t="s">
        <v>30</v>
      </c>
      <c r="AA23" s="3" t="s">
        <v>121</v>
      </c>
      <c r="AC23" s="3" t="s">
        <v>176</v>
      </c>
      <c r="AE23" s="50">
        <f t="shared" si="11"/>
        <v>171.30280582907699</v>
      </c>
      <c r="AF23" s="12">
        <v>2.5</v>
      </c>
      <c r="AG23" s="12">
        <f t="shared" si="12"/>
        <v>1.5811388300841898</v>
      </c>
      <c r="AH23" s="12">
        <f t="shared" si="13"/>
        <v>42.338809421044495</v>
      </c>
      <c r="AI23" s="12">
        <v>1</v>
      </c>
      <c r="AJ23" s="12">
        <f t="shared" si="14"/>
        <v>1</v>
      </c>
      <c r="AK23" s="12">
        <f t="shared" si="15"/>
        <v>29.579031748337268</v>
      </c>
      <c r="AM23" s="12">
        <f t="shared" si="16"/>
        <v>0</v>
      </c>
      <c r="AN23" s="12">
        <f t="shared" si="17"/>
        <v>0</v>
      </c>
      <c r="AO23" s="12">
        <v>1.1000000000000001</v>
      </c>
      <c r="AP23" s="12">
        <f t="shared" si="18"/>
        <v>1.0488088481701516</v>
      </c>
      <c r="AQ23" s="12">
        <f t="shared" si="19"/>
        <v>71.214983990651092</v>
      </c>
      <c r="AS23" s="12">
        <f t="shared" si="20"/>
        <v>0</v>
      </c>
      <c r="AT23" s="12">
        <f t="shared" si="21"/>
        <v>0</v>
      </c>
      <c r="BA23" s="24">
        <v>70</v>
      </c>
      <c r="BB23" s="12">
        <f t="shared" si="22"/>
        <v>8.3666002653407556</v>
      </c>
      <c r="BC23" s="51">
        <f t="shared" si="23"/>
        <v>28.16998066904414</v>
      </c>
      <c r="BD23" s="22">
        <v>0.09</v>
      </c>
      <c r="BE23" s="20">
        <f t="shared" si="24"/>
        <v>0.3</v>
      </c>
      <c r="BF23" s="12">
        <f t="shared" si="25"/>
        <v>88.951380602113048</v>
      </c>
      <c r="BJ23" s="24"/>
      <c r="BK23" s="24"/>
      <c r="BL23" s="24">
        <v>10</v>
      </c>
      <c r="BM23" s="12">
        <f t="shared" si="26"/>
        <v>33.112582781456958</v>
      </c>
      <c r="BN23" s="45">
        <f t="shared" si="27"/>
        <v>0</v>
      </c>
      <c r="BO23" s="27">
        <v>0</v>
      </c>
      <c r="BP23" s="27">
        <v>0</v>
      </c>
      <c r="BS23" s="27"/>
      <c r="BT23" s="3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</row>
    <row r="24" spans="1:96" ht="20.100000000000001" customHeight="1" x14ac:dyDescent="0.25">
      <c r="B24" s="1">
        <v>19</v>
      </c>
      <c r="C24" s="44">
        <v>18</v>
      </c>
      <c r="D24" s="1" t="str">
        <f t="shared" si="5"/>
        <v>▲1</v>
      </c>
      <c r="E24" s="2" t="s">
        <v>43</v>
      </c>
      <c r="F24" s="47">
        <f t="shared" si="9"/>
        <v>779.23487491726883</v>
      </c>
      <c r="G24" s="15">
        <f>IF(COUNTIF(H24:INDEX(H24:N24,$B$1),"&gt;0")=0,0,
(SUMIF(H24:INDEX(H24:N24,$B$1),"&gt;0",H24:INDEX(H24:N24,$B$1))*$B$1/COUNTIF(H24:INDEX(H24:N24,$B$1),"&gt;0"))*
IF($B$1-COUNTIF(H24:INDEX(H24:N24,$B$1),"&gt;0")&lt;=2,1,
IF($B$1-COUNTIF(H24:INDEX(H24:N24,$B$1),"&gt;0")=3,0.8,
IF($B$1-COUNTIF(H24:INDEX(H24:N24,$B$1),"&gt;0")=4,0.6,0))))</f>
        <v>304</v>
      </c>
      <c r="H24" s="3">
        <v>42</v>
      </c>
      <c r="I24" s="3">
        <v>47</v>
      </c>
      <c r="J24" s="3">
        <v>59</v>
      </c>
      <c r="K24" s="3">
        <v>57</v>
      </c>
      <c r="L24" s="3">
        <v>52</v>
      </c>
      <c r="M24" s="3">
        <v>47</v>
      </c>
      <c r="N24" s="3"/>
      <c r="O24" s="12">
        <f>0.2*IF(COUNTIF(P24:INDEX(P24:V24,$B$1),"&gt;0")=0,0,
(SUMIF(P24:INDEX(P24:V24,$B$1),"&gt;0",P24:INDEX(P24:V24,$B$1))*$B$1/COUNTIF(P24:INDEX(P24:V24,$B$1),"&gt;0"))*
IF($B$1-COUNTIF(P24:INDEX(P24:V24,$B$1),"&gt;0")&lt;=2,1,
IF($B$1-COUNTIF(P24:INDEX(P24:V24,$B$1),"&gt;0")=3,0.8,
IF($B$1-COUNTIF(P24:INDEX(P24:V24,$B$1),"&gt;0")=4,0.6,0))))</f>
        <v>58.6</v>
      </c>
      <c r="P24" s="3">
        <v>50</v>
      </c>
      <c r="Q24" s="3">
        <v>46</v>
      </c>
      <c r="R24" s="3">
        <v>47</v>
      </c>
      <c r="S24" s="3">
        <v>51</v>
      </c>
      <c r="T24" s="3">
        <v>50</v>
      </c>
      <c r="U24" s="3">
        <v>49</v>
      </c>
      <c r="W24" s="3">
        <f t="shared" si="10"/>
        <v>100</v>
      </c>
      <c r="X24" s="3" t="s">
        <v>15</v>
      </c>
      <c r="Y24" s="3" t="s">
        <v>15</v>
      </c>
      <c r="Z24" s="3" t="s">
        <v>15</v>
      </c>
      <c r="AA24" s="3" t="s">
        <v>121</v>
      </c>
      <c r="AB24" s="3" t="s">
        <v>121</v>
      </c>
      <c r="AC24" s="3" t="s">
        <v>176</v>
      </c>
      <c r="AE24" s="50">
        <f t="shared" si="11"/>
        <v>124.66409537355356</v>
      </c>
      <c r="AG24" s="12">
        <f t="shared" si="12"/>
        <v>0</v>
      </c>
      <c r="AH24" s="12">
        <f t="shared" si="13"/>
        <v>0</v>
      </c>
      <c r="AI24" s="12">
        <v>0.6</v>
      </c>
      <c r="AJ24" s="12">
        <f t="shared" si="14"/>
        <v>0.7745966692414834</v>
      </c>
      <c r="AK24" s="12">
        <f t="shared" si="15"/>
        <v>22.911819471650141</v>
      </c>
      <c r="AL24" s="12">
        <v>1</v>
      </c>
      <c r="AM24" s="12">
        <f t="shared" si="16"/>
        <v>1</v>
      </c>
      <c r="AN24" s="12">
        <f t="shared" si="17"/>
        <v>40.484130484527455</v>
      </c>
      <c r="AP24" s="12">
        <f t="shared" si="18"/>
        <v>0</v>
      </c>
      <c r="AQ24" s="12">
        <f t="shared" si="19"/>
        <v>0</v>
      </c>
      <c r="AR24" s="12">
        <v>0.4</v>
      </c>
      <c r="AS24" s="12">
        <f t="shared" si="20"/>
        <v>0.63245553203367588</v>
      </c>
      <c r="AT24" s="12">
        <f t="shared" si="21"/>
        <v>35.187811103770677</v>
      </c>
      <c r="BA24" s="24">
        <v>60</v>
      </c>
      <c r="BB24" s="12">
        <f t="shared" si="22"/>
        <v>7.745966692414834</v>
      </c>
      <c r="BC24" s="51">
        <f t="shared" si="23"/>
        <v>26.080334313605292</v>
      </c>
      <c r="BD24" s="22">
        <v>0.35</v>
      </c>
      <c r="BE24" s="20">
        <f t="shared" si="24"/>
        <v>0.59160797830996159</v>
      </c>
      <c r="BF24" s="12">
        <f t="shared" si="25"/>
        <v>175.41448815298679</v>
      </c>
      <c r="BJ24" s="24"/>
      <c r="BK24" s="24"/>
      <c r="BL24" s="24">
        <v>5</v>
      </c>
      <c r="BM24" s="12">
        <f t="shared" si="26"/>
        <v>16.556291390728479</v>
      </c>
      <c r="BN24" s="45">
        <f t="shared" si="27"/>
        <v>0</v>
      </c>
      <c r="BO24" s="27">
        <v>0</v>
      </c>
      <c r="BP24" s="27">
        <v>0</v>
      </c>
      <c r="BS24" s="27"/>
      <c r="BT24" s="3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</row>
    <row r="25" spans="1:96" ht="20.100000000000001" customHeight="1" x14ac:dyDescent="0.25">
      <c r="B25" s="1">
        <v>18</v>
      </c>
      <c r="C25" s="44">
        <v>19</v>
      </c>
      <c r="D25" s="1" t="str">
        <f t="shared" si="5"/>
        <v>▼1</v>
      </c>
      <c r="E25" s="2" t="s">
        <v>32</v>
      </c>
      <c r="F25" s="47">
        <f t="shared" si="9"/>
        <v>771.09458222226601</v>
      </c>
      <c r="G25" s="15">
        <f>IF(COUNTIF(H25:INDEX(H25:N25,$B$1),"&gt;0")=0,0,
(SUMIF(H25:INDEX(H25:N25,$B$1),"&gt;0",H25:INDEX(H25:N25,$B$1))*$B$1/COUNTIF(H25:INDEX(H25:N25,$B$1),"&gt;0"))*
IF($B$1-COUNTIF(H25:INDEX(H25:N25,$B$1),"&gt;0")&lt;=2,1,
IF($B$1-COUNTIF(H25:INDEX(H25:N25,$B$1),"&gt;0")=3,0.8,
IF($B$1-COUNTIF(H25:INDEX(H25:N25,$B$1),"&gt;0")=4,0.6,0))))</f>
        <v>411</v>
      </c>
      <c r="H25" s="3">
        <v>80</v>
      </c>
      <c r="I25" s="3">
        <v>77</v>
      </c>
      <c r="J25" s="3">
        <v>63</v>
      </c>
      <c r="K25" s="3">
        <v>54</v>
      </c>
      <c r="L25" s="3">
        <v>85</v>
      </c>
      <c r="M25" s="3">
        <v>52</v>
      </c>
      <c r="N25" s="3"/>
      <c r="O25" s="12">
        <f>0.2*IF(COUNTIF(P25:INDEX(P25:V25,$B$1),"&gt;0")=0,0,
(SUMIF(P25:INDEX(P25:V25,$B$1),"&gt;0",P25:INDEX(P25:V25,$B$1))*$B$1/COUNTIF(P25:INDEX(P25:V25,$B$1),"&gt;0"))*
IF($B$1-COUNTIF(P25:INDEX(P25:V25,$B$1),"&gt;0")&lt;=2,1,
IF($B$1-COUNTIF(P25:INDEX(P25:V25,$B$1),"&gt;0")=3,0.8,
IF($B$1-COUNTIF(P25:INDEX(P25:V25,$B$1),"&gt;0")=4,0.6,0))))</f>
        <v>57</v>
      </c>
      <c r="P25" s="3">
        <v>51</v>
      </c>
      <c r="Q25" s="3">
        <v>42</v>
      </c>
      <c r="R25" s="3">
        <v>47</v>
      </c>
      <c r="S25" s="3">
        <v>47</v>
      </c>
      <c r="T25" s="3">
        <v>50</v>
      </c>
      <c r="U25" s="3">
        <v>48</v>
      </c>
      <c r="W25" s="3">
        <f t="shared" si="10"/>
        <v>90</v>
      </c>
      <c r="X25" s="3" t="s">
        <v>15</v>
      </c>
      <c r="Y25" s="3" t="s">
        <v>30</v>
      </c>
      <c r="AA25" s="3" t="s">
        <v>121</v>
      </c>
      <c r="AB25" s="3" t="s">
        <v>121</v>
      </c>
      <c r="AC25" s="3" t="s">
        <v>176</v>
      </c>
      <c r="AE25" s="50">
        <f t="shared" si="11"/>
        <v>55.152481868541237</v>
      </c>
      <c r="AF25" s="12">
        <v>1.4</v>
      </c>
      <c r="AG25" s="12">
        <f t="shared" si="12"/>
        <v>1.1832159566199232</v>
      </c>
      <c r="AH25" s="12">
        <f t="shared" si="13"/>
        <v>31.683463803493051</v>
      </c>
      <c r="AI25" s="12">
        <v>0.4</v>
      </c>
      <c r="AJ25" s="12">
        <f t="shared" si="14"/>
        <v>0.63245553203367588</v>
      </c>
      <c r="AK25" s="12">
        <f t="shared" si="15"/>
        <v>18.707422261435639</v>
      </c>
      <c r="AM25" s="12">
        <f t="shared" si="16"/>
        <v>0</v>
      </c>
      <c r="AN25" s="12">
        <f t="shared" si="17"/>
        <v>0</v>
      </c>
      <c r="AP25" s="12">
        <f t="shared" si="18"/>
        <v>0</v>
      </c>
      <c r="AQ25" s="12">
        <f t="shared" si="19"/>
        <v>0</v>
      </c>
      <c r="AS25" s="12">
        <f t="shared" si="20"/>
        <v>0</v>
      </c>
      <c r="AT25" s="12">
        <f t="shared" si="21"/>
        <v>0</v>
      </c>
      <c r="BA25" s="24">
        <v>2</v>
      </c>
      <c r="BB25" s="12">
        <f t="shared" si="22"/>
        <v>1.4142135623730951</v>
      </c>
      <c r="BC25" s="51">
        <f t="shared" si="23"/>
        <v>4.7615958036125443</v>
      </c>
      <c r="BD25" s="22">
        <v>0.11</v>
      </c>
      <c r="BE25" s="20">
        <f t="shared" si="24"/>
        <v>0.33166247903553997</v>
      </c>
      <c r="BF25" s="12">
        <f t="shared" si="25"/>
        <v>98.339451347102184</v>
      </c>
      <c r="BJ25" s="24"/>
      <c r="BK25" s="24"/>
      <c r="BL25" s="24">
        <v>18</v>
      </c>
      <c r="BM25" s="12">
        <f t="shared" si="26"/>
        <v>59.602649006622514</v>
      </c>
      <c r="BN25" s="45">
        <f t="shared" si="27"/>
        <v>0</v>
      </c>
      <c r="BO25" s="27">
        <v>0</v>
      </c>
      <c r="BP25" s="27">
        <v>0</v>
      </c>
      <c r="BS25" s="27"/>
      <c r="BT25" s="3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</row>
    <row r="26" spans="1:96" ht="20.100000000000001" customHeight="1" x14ac:dyDescent="0.25">
      <c r="B26" s="1">
        <v>20</v>
      </c>
      <c r="C26" s="44">
        <v>20</v>
      </c>
      <c r="D26" s="1" t="str">
        <f t="shared" si="5"/>
        <v>—</v>
      </c>
      <c r="E26" s="2" t="s">
        <v>37</v>
      </c>
      <c r="F26" s="47">
        <f t="shared" si="9"/>
        <v>764.76986120453</v>
      </c>
      <c r="G26" s="15">
        <f>IF(COUNTIF(H26:INDEX(H26:N26,$B$1),"&gt;0")=0,0,
(SUMIF(H26:INDEX(H26:N26,$B$1),"&gt;0",H26:INDEX(H26:N26,$B$1))*$B$1/COUNTIF(H26:INDEX(H26:N26,$B$1),"&gt;0"))*
IF($B$1-COUNTIF(H26:INDEX(H26:N26,$B$1),"&gt;0")&lt;=2,1,
IF($B$1-COUNTIF(H26:INDEX(H26:N26,$B$1),"&gt;0")=3,0.8,
IF($B$1-COUNTIF(H26:INDEX(H26:N26,$B$1),"&gt;0")=4,0.6,0))))</f>
        <v>353</v>
      </c>
      <c r="H26" s="3">
        <v>57</v>
      </c>
      <c r="I26" s="3">
        <v>50</v>
      </c>
      <c r="J26" s="3">
        <v>68</v>
      </c>
      <c r="K26" s="3">
        <v>63</v>
      </c>
      <c r="L26" s="3">
        <v>60</v>
      </c>
      <c r="M26" s="3">
        <v>55</v>
      </c>
      <c r="N26" s="3"/>
      <c r="O26" s="12">
        <f>0.2*IF(COUNTIF(P26:INDEX(P26:V26,$B$1),"&gt;0")=0,0,
(SUMIF(P26:INDEX(P26:V26,$B$1),"&gt;0",P26:INDEX(P26:V26,$B$1))*$B$1/COUNTIF(P26:INDEX(P26:V26,$B$1),"&gt;0"))*
IF($B$1-COUNTIF(P26:INDEX(P26:V26,$B$1),"&gt;0")&lt;=2,1,
IF($B$1-COUNTIF(P26:INDEX(P26:V26,$B$1),"&gt;0")=3,0.8,
IF($B$1-COUNTIF(P26:INDEX(P26:V26,$B$1),"&gt;0")=4,0.6,0))))</f>
        <v>80</v>
      </c>
      <c r="P26" s="3">
        <v>68</v>
      </c>
      <c r="Q26" s="3">
        <v>59</v>
      </c>
      <c r="R26" s="3">
        <v>69</v>
      </c>
      <c r="S26" s="3">
        <v>69</v>
      </c>
      <c r="T26" s="3">
        <v>67</v>
      </c>
      <c r="U26" s="3">
        <v>68</v>
      </c>
      <c r="W26" s="3">
        <f t="shared" si="10"/>
        <v>100</v>
      </c>
      <c r="X26" s="3" t="s">
        <v>33</v>
      </c>
      <c r="Y26" s="3" t="s">
        <v>17</v>
      </c>
      <c r="Z26" s="3" t="s">
        <v>17</v>
      </c>
      <c r="AA26" s="3" t="s">
        <v>123</v>
      </c>
      <c r="AB26" s="3" t="s">
        <v>123</v>
      </c>
      <c r="AC26" s="3" t="s">
        <v>176</v>
      </c>
      <c r="AE26" s="50">
        <f t="shared" si="11"/>
        <v>77.781640157423652</v>
      </c>
      <c r="AG26" s="12">
        <f t="shared" si="12"/>
        <v>0</v>
      </c>
      <c r="AH26" s="12">
        <f t="shared" si="13"/>
        <v>0</v>
      </c>
      <c r="AI26" s="12">
        <v>0.9</v>
      </c>
      <c r="AJ26" s="12">
        <f t="shared" si="14"/>
        <v>0.94868329805051377</v>
      </c>
      <c r="AK26" s="12">
        <f t="shared" si="15"/>
        <v>28.061133392153454</v>
      </c>
      <c r="AL26" s="12">
        <v>0.2</v>
      </c>
      <c r="AM26" s="12">
        <f t="shared" si="16"/>
        <v>0.44721359549995793</v>
      </c>
      <c r="AN26" s="12">
        <f t="shared" si="17"/>
        <v>18.105053554674974</v>
      </c>
      <c r="AP26" s="12">
        <f t="shared" si="18"/>
        <v>0</v>
      </c>
      <c r="AQ26" s="12">
        <f t="shared" si="19"/>
        <v>0</v>
      </c>
      <c r="AR26" s="12">
        <v>0.2</v>
      </c>
      <c r="AS26" s="12">
        <f t="shared" si="20"/>
        <v>0.44721359549995793</v>
      </c>
      <c r="AT26" s="12">
        <f t="shared" si="21"/>
        <v>24.88153984658754</v>
      </c>
      <c r="BA26" s="24">
        <v>4</v>
      </c>
      <c r="BB26" s="12">
        <f t="shared" si="22"/>
        <v>2</v>
      </c>
      <c r="BC26" s="51">
        <f t="shared" si="23"/>
        <v>6.7339133640076758</v>
      </c>
      <c r="BD26" s="22">
        <v>0.14000000000000001</v>
      </c>
      <c r="BE26" s="20">
        <f t="shared" si="24"/>
        <v>0.37416573867739417</v>
      </c>
      <c r="BF26" s="12">
        <f t="shared" si="25"/>
        <v>110.94186343121221</v>
      </c>
      <c r="BJ26" s="24"/>
      <c r="BK26" s="24"/>
      <c r="BL26" s="24">
        <v>13</v>
      </c>
      <c r="BM26" s="12">
        <f t="shared" si="26"/>
        <v>43.046357615894038</v>
      </c>
      <c r="BN26" s="45">
        <f t="shared" si="27"/>
        <v>0</v>
      </c>
      <c r="BO26" s="27">
        <v>0</v>
      </c>
      <c r="BP26" s="27">
        <v>0</v>
      </c>
      <c r="BS26" s="27"/>
      <c r="BT26" s="3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</row>
    <row r="27" spans="1:96" ht="19.8" customHeight="1" x14ac:dyDescent="0.25">
      <c r="B27" s="1">
        <v>17</v>
      </c>
      <c r="C27" s="44">
        <v>21</v>
      </c>
      <c r="D27" s="1" t="str">
        <f t="shared" si="5"/>
        <v>▼4</v>
      </c>
      <c r="E27" s="2" t="s">
        <v>23</v>
      </c>
      <c r="F27" s="47">
        <f t="shared" si="9"/>
        <v>743.12818061542782</v>
      </c>
      <c r="G27" s="15">
        <f>IF(COUNTIF(H27:INDEX(H27:N27,$B$1),"&gt;0")=0,0,
(SUMIF(H27:INDEX(H27:N27,$B$1),"&gt;0",H27:INDEX(H27:N27,$B$1))*$B$1/COUNTIF(H27:INDEX(H27:N27,$B$1),"&gt;0"))*
IF($B$1-COUNTIF(H27:INDEX(H27:N27,$B$1),"&gt;0")&lt;=2,1,
IF($B$1-COUNTIF(H27:INDEX(H27:N27,$B$1),"&gt;0")=3,0.8,
IF($B$1-COUNTIF(H27:INDEX(H27:N27,$B$1),"&gt;0")=4,0.6,0))))</f>
        <v>443</v>
      </c>
      <c r="H27" s="3">
        <v>73</v>
      </c>
      <c r="I27" s="3">
        <v>76</v>
      </c>
      <c r="J27" s="3">
        <v>79</v>
      </c>
      <c r="K27" s="3">
        <v>103</v>
      </c>
      <c r="L27" s="3">
        <v>59</v>
      </c>
      <c r="M27" s="3">
        <v>53</v>
      </c>
      <c r="N27" s="3"/>
      <c r="O27" s="12">
        <f>0.2*IF(COUNTIF(P27:INDEX(P27:V27,$B$1),"&gt;0")=0,0,
(SUMIF(P27:INDEX(P27:V27,$B$1),"&gt;0",P27:INDEX(P27:V27,$B$1))*$B$1/COUNTIF(P27:INDEX(P27:V27,$B$1),"&gt;0"))*
IF($B$1-COUNTIF(P27:INDEX(P27:V27,$B$1),"&gt;0")&lt;=2,1,
IF($B$1-COUNTIF(P27:INDEX(P27:V27,$B$1),"&gt;0")=3,0.8,
IF($B$1-COUNTIF(P27:INDEX(P27:V27,$B$1),"&gt;0")=4,0.6,0))))</f>
        <v>56</v>
      </c>
      <c r="P27" s="3">
        <v>49</v>
      </c>
      <c r="Q27" s="3">
        <v>37</v>
      </c>
      <c r="R27" s="3">
        <v>49</v>
      </c>
      <c r="S27" s="3">
        <v>48</v>
      </c>
      <c r="T27" s="3">
        <v>48</v>
      </c>
      <c r="U27" s="3">
        <v>49</v>
      </c>
      <c r="W27" s="3">
        <f t="shared" si="10"/>
        <v>100</v>
      </c>
      <c r="X27" s="3" t="s">
        <v>17</v>
      </c>
      <c r="Y27" s="3" t="s">
        <v>17</v>
      </c>
      <c r="Z27" s="3" t="s">
        <v>17</v>
      </c>
      <c r="AA27" s="3" t="s">
        <v>124</v>
      </c>
      <c r="AB27" s="3" t="s">
        <v>123</v>
      </c>
      <c r="AC27" s="3" t="s">
        <v>176</v>
      </c>
      <c r="AE27" s="50">
        <f t="shared" si="11"/>
        <v>35.79124047486205</v>
      </c>
      <c r="AG27" s="12">
        <f t="shared" si="12"/>
        <v>0</v>
      </c>
      <c r="AH27" s="12">
        <f t="shared" si="13"/>
        <v>0</v>
      </c>
      <c r="AI27" s="12"/>
      <c r="AJ27" s="12">
        <f t="shared" si="14"/>
        <v>0</v>
      </c>
      <c r="AK27" s="12">
        <f t="shared" si="15"/>
        <v>0</v>
      </c>
      <c r="AM27" s="12">
        <f t="shared" si="16"/>
        <v>0</v>
      </c>
      <c r="AN27" s="12">
        <f t="shared" si="17"/>
        <v>0</v>
      </c>
      <c r="AP27" s="12">
        <f t="shared" si="18"/>
        <v>0</v>
      </c>
      <c r="AQ27" s="12">
        <f t="shared" si="19"/>
        <v>0</v>
      </c>
      <c r="AS27" s="12">
        <f t="shared" si="20"/>
        <v>0</v>
      </c>
      <c r="AT27" s="12">
        <f t="shared" si="21"/>
        <v>0</v>
      </c>
      <c r="BA27" s="24">
        <v>113</v>
      </c>
      <c r="BB27" s="12">
        <f t="shared" si="22"/>
        <v>10.63014581273465</v>
      </c>
      <c r="BC27" s="51">
        <f t="shared" si="23"/>
        <v>35.79124047486205</v>
      </c>
      <c r="BD27" s="22">
        <v>0.16</v>
      </c>
      <c r="BE27" s="20">
        <f t="shared" si="24"/>
        <v>0.4</v>
      </c>
      <c r="BF27" s="12">
        <f t="shared" si="25"/>
        <v>118.60184080281741</v>
      </c>
      <c r="BJ27" s="24"/>
      <c r="BK27" s="24"/>
      <c r="BL27" s="24">
        <v>12</v>
      </c>
      <c r="BM27" s="12">
        <f t="shared" si="26"/>
        <v>39.735099337748345</v>
      </c>
      <c r="BN27" s="45">
        <f t="shared" si="27"/>
        <v>-50</v>
      </c>
      <c r="BO27" s="27">
        <v>0</v>
      </c>
      <c r="BP27" s="27">
        <v>-50</v>
      </c>
      <c r="BS27" s="27"/>
      <c r="BT27" s="3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</row>
    <row r="28" spans="1:96" ht="20.100000000000001" customHeight="1" x14ac:dyDescent="0.25">
      <c r="B28" s="1">
        <v>21</v>
      </c>
      <c r="C28" s="44">
        <v>22</v>
      </c>
      <c r="D28" s="1" t="str">
        <f t="shared" si="5"/>
        <v>▼1</v>
      </c>
      <c r="E28" s="2" t="s">
        <v>41</v>
      </c>
      <c r="F28" s="47">
        <f t="shared" si="9"/>
        <v>737.25253104698504</v>
      </c>
      <c r="G28" s="15">
        <f>IF(COUNTIF(H28:INDEX(H28:N28,$B$1),"&gt;0")=0,0,
(SUMIF(H28:INDEX(H28:N28,$B$1),"&gt;0",H28:INDEX(H28:N28,$B$1))*$B$1/COUNTIF(H28:INDEX(H28:N28,$B$1),"&gt;0"))*
IF($B$1-COUNTIF(H28:INDEX(H28:N28,$B$1),"&gt;0")&lt;=2,1,
IF($B$1-COUNTIF(H28:INDEX(H28:N28,$B$1),"&gt;0")=3,0.8,
IF($B$1-COUNTIF(H28:INDEX(H28:N28,$B$1),"&gt;0")=4,0.6,0))))</f>
        <v>376</v>
      </c>
      <c r="H28" s="3">
        <v>72</v>
      </c>
      <c r="I28" s="3">
        <v>65</v>
      </c>
      <c r="J28" s="3">
        <v>47</v>
      </c>
      <c r="K28" s="3">
        <v>101</v>
      </c>
      <c r="L28" s="3">
        <v>43</v>
      </c>
      <c r="M28" s="3">
        <v>48</v>
      </c>
      <c r="N28" s="3"/>
      <c r="O28" s="12">
        <f>0.2*IF(COUNTIF(P28:INDEX(P28:V28,$B$1),"&gt;0")=0,0,
(SUMIF(P28:INDEX(P28:V28,$B$1),"&gt;0",P28:INDEX(P28:V28,$B$1))*$B$1/COUNTIF(P28:INDEX(P28:V28,$B$1),"&gt;0"))*
IF($B$1-COUNTIF(P28:INDEX(P28:V28,$B$1),"&gt;0")&lt;=2,1,
IF($B$1-COUNTIF(P28:INDEX(P28:V28,$B$1),"&gt;0")=3,0.8,
IF($B$1-COUNTIF(P28:INDEX(P28:V28,$B$1),"&gt;0")=4,0.6,0))))</f>
        <v>49.800000000000004</v>
      </c>
      <c r="P28" s="3">
        <v>46</v>
      </c>
      <c r="Q28" s="3">
        <v>40</v>
      </c>
      <c r="R28" s="3">
        <v>44</v>
      </c>
      <c r="S28" s="3">
        <v>39</v>
      </c>
      <c r="T28" s="3">
        <v>42</v>
      </c>
      <c r="U28" s="3">
        <v>38</v>
      </c>
      <c r="W28" s="3">
        <f t="shared" si="10"/>
        <v>100</v>
      </c>
      <c r="X28" s="3" t="s">
        <v>15</v>
      </c>
      <c r="Z28" s="3" t="s">
        <v>15</v>
      </c>
      <c r="AA28" s="3" t="s">
        <v>121</v>
      </c>
      <c r="AB28" s="3" t="s">
        <v>121</v>
      </c>
      <c r="AC28" s="3" t="s">
        <v>176</v>
      </c>
      <c r="AE28" s="50">
        <f t="shared" si="11"/>
        <v>29.333187619689959</v>
      </c>
      <c r="AF28" s="12">
        <v>1.2</v>
      </c>
      <c r="AG28" s="12">
        <f t="shared" si="12"/>
        <v>1.0954451150103321</v>
      </c>
      <c r="AH28" s="12">
        <f t="shared" si="13"/>
        <v>29.333187619689959</v>
      </c>
      <c r="AI28" s="12"/>
      <c r="AJ28" s="12">
        <f t="shared" si="14"/>
        <v>0</v>
      </c>
      <c r="AK28" s="12">
        <f t="shared" si="15"/>
        <v>0</v>
      </c>
      <c r="AM28" s="12">
        <f t="shared" si="16"/>
        <v>0</v>
      </c>
      <c r="AN28" s="12">
        <f t="shared" si="17"/>
        <v>0</v>
      </c>
      <c r="AP28" s="12">
        <f t="shared" si="18"/>
        <v>0</v>
      </c>
      <c r="AQ28" s="12">
        <f t="shared" si="19"/>
        <v>0</v>
      </c>
      <c r="AS28" s="12">
        <f t="shared" si="20"/>
        <v>0</v>
      </c>
      <c r="AT28" s="12">
        <f t="shared" si="21"/>
        <v>0</v>
      </c>
      <c r="BB28" s="12">
        <f t="shared" si="22"/>
        <v>0</v>
      </c>
      <c r="BC28" s="51">
        <f t="shared" si="23"/>
        <v>0</v>
      </c>
      <c r="BD28" s="22">
        <v>0.22</v>
      </c>
      <c r="BE28" s="20">
        <f t="shared" si="24"/>
        <v>0.46904157598234297</v>
      </c>
      <c r="BF28" s="12">
        <f t="shared" si="25"/>
        <v>139.07298581140105</v>
      </c>
      <c r="BJ28" s="24"/>
      <c r="BK28" s="24"/>
      <c r="BL28" s="24">
        <v>13</v>
      </c>
      <c r="BM28" s="12">
        <f t="shared" si="26"/>
        <v>43.046357615894038</v>
      </c>
      <c r="BN28" s="45">
        <f t="shared" si="27"/>
        <v>0</v>
      </c>
      <c r="BO28" s="27">
        <v>0</v>
      </c>
      <c r="BP28" s="27">
        <v>0</v>
      </c>
      <c r="BS28" s="27"/>
      <c r="BT28" s="3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</row>
    <row r="29" spans="1:96" s="6" customFormat="1" ht="20.100000000000001" customHeight="1" x14ac:dyDescent="0.25">
      <c r="A29" s="1"/>
      <c r="B29" s="1">
        <v>24</v>
      </c>
      <c r="C29" s="44">
        <v>23</v>
      </c>
      <c r="D29" s="1" t="str">
        <f t="shared" si="5"/>
        <v>▲1</v>
      </c>
      <c r="E29" s="2" t="s">
        <v>114</v>
      </c>
      <c r="F29" s="47">
        <f t="shared" si="9"/>
        <v>732.26404215523644</v>
      </c>
      <c r="G29" s="15">
        <f>IF(COUNTIF(H29:INDEX(H29:N29,$B$1),"&gt;0")=0,0,
(SUMIF(H29:INDEX(H29:N29,$B$1),"&gt;0",H29:INDEX(H29:N29,$B$1))*$B$1/COUNTIF(H29:INDEX(H29:N29,$B$1),"&gt;0"))*
IF($B$1-COUNTIF(H29:INDEX(H29:N29,$B$1),"&gt;0")&lt;=2,1,
IF($B$1-COUNTIF(H29:INDEX(H29:N29,$B$1),"&gt;0")=3,0.8,
IF($B$1-COUNTIF(H29:INDEX(H29:N29,$B$1),"&gt;0")=4,0.6,0))))</f>
        <v>438.40000000000003</v>
      </c>
      <c r="H29" s="3">
        <v>-1</v>
      </c>
      <c r="I29" s="3">
        <v>-1</v>
      </c>
      <c r="J29" s="3">
        <v>-1</v>
      </c>
      <c r="K29" s="3">
        <v>82</v>
      </c>
      <c r="L29" s="3">
        <v>95</v>
      </c>
      <c r="M29" s="3">
        <v>97</v>
      </c>
      <c r="N29" s="3"/>
      <c r="O29" s="12">
        <f>0.2*IF(COUNTIF(P29:INDEX(P29:V29,$B$1),"&gt;0")=0,0,
(SUMIF(P29:INDEX(P29:V29,$B$1),"&gt;0",P29:INDEX(P29:V29,$B$1))*$B$1/COUNTIF(P29:INDEX(P29:V29,$B$1),"&gt;0"))*
IF($B$1-COUNTIF(P29:INDEX(P29:V29,$B$1),"&gt;0")&lt;=2,1,
IF($B$1-COUNTIF(P29:INDEX(P29:V29,$B$1),"&gt;0")=3,0.8,
IF($B$1-COUNTIF(P29:INDEX(P29:V29,$B$1),"&gt;0")=4,0.6,0))))</f>
        <v>44.160000000000004</v>
      </c>
      <c r="P29" s="3">
        <v>-1</v>
      </c>
      <c r="Q29" s="3">
        <v>-1</v>
      </c>
      <c r="R29" s="3">
        <v>-1</v>
      </c>
      <c r="S29" s="3">
        <v>52</v>
      </c>
      <c r="T29" s="3">
        <v>45</v>
      </c>
      <c r="U29" s="3">
        <v>41</v>
      </c>
      <c r="V29" s="3"/>
      <c r="W29" s="3">
        <f t="shared" si="10"/>
        <v>60</v>
      </c>
      <c r="X29" s="3"/>
      <c r="Y29" s="3"/>
      <c r="Z29" s="3"/>
      <c r="AA29" s="3" t="s">
        <v>121</v>
      </c>
      <c r="AB29" s="3" t="s">
        <v>121</v>
      </c>
      <c r="AC29" s="3" t="s">
        <v>176</v>
      </c>
      <c r="AD29" s="3"/>
      <c r="AE29" s="50">
        <f t="shared" si="11"/>
        <v>68.185782861114276</v>
      </c>
      <c r="AF29" s="12"/>
      <c r="AG29" s="12">
        <f t="shared" si="12"/>
        <v>0</v>
      </c>
      <c r="AH29" s="12">
        <f t="shared" si="13"/>
        <v>0</v>
      </c>
      <c r="AI29" s="12">
        <v>2.2999999999999998</v>
      </c>
      <c r="AJ29" s="12">
        <f t="shared" si="14"/>
        <v>1.51657508881031</v>
      </c>
      <c r="AK29" s="12">
        <f t="shared" si="15"/>
        <v>44.858822700657576</v>
      </c>
      <c r="AL29" s="12"/>
      <c r="AM29" s="12">
        <f t="shared" si="16"/>
        <v>0</v>
      </c>
      <c r="AN29" s="12">
        <f t="shared" si="17"/>
        <v>0</v>
      </c>
      <c r="AO29" s="12"/>
      <c r="AP29" s="12">
        <f t="shared" si="18"/>
        <v>0</v>
      </c>
      <c r="AQ29" s="12">
        <f t="shared" si="19"/>
        <v>0</v>
      </c>
      <c r="AR29" s="12"/>
      <c r="AS29" s="12">
        <f t="shared" si="20"/>
        <v>0</v>
      </c>
      <c r="AT29" s="12">
        <f t="shared" si="21"/>
        <v>0</v>
      </c>
      <c r="AU29" s="12"/>
      <c r="AV29" s="12"/>
      <c r="AW29" s="12"/>
      <c r="AX29" s="12"/>
      <c r="AY29" s="12"/>
      <c r="AZ29" s="12"/>
      <c r="BA29" s="24">
        <v>48</v>
      </c>
      <c r="BB29" s="12">
        <f t="shared" si="22"/>
        <v>6.9282032302755088</v>
      </c>
      <c r="BC29" s="51">
        <f t="shared" si="23"/>
        <v>23.326960160456697</v>
      </c>
      <c r="BD29" s="22">
        <v>0.11</v>
      </c>
      <c r="BE29" s="20">
        <f t="shared" si="24"/>
        <v>0.33166247903553997</v>
      </c>
      <c r="BF29" s="12">
        <f t="shared" si="25"/>
        <v>98.339451347102184</v>
      </c>
      <c r="BG29" s="12"/>
      <c r="BH29" s="12"/>
      <c r="BI29" s="12"/>
      <c r="BJ29" s="24"/>
      <c r="BK29" s="24"/>
      <c r="BL29" s="24">
        <v>7</v>
      </c>
      <c r="BM29" s="12">
        <f t="shared" si="26"/>
        <v>23.17880794701987</v>
      </c>
      <c r="BN29" s="45">
        <f t="shared" si="27"/>
        <v>0</v>
      </c>
      <c r="BO29" s="27">
        <v>0</v>
      </c>
      <c r="BP29" s="27">
        <v>0</v>
      </c>
      <c r="BQ29" s="27"/>
      <c r="BR29" s="27"/>
      <c r="BS29" s="27"/>
      <c r="BT29" s="3"/>
      <c r="BU29" s="1"/>
      <c r="BV29" s="1"/>
      <c r="BW29" s="1"/>
    </row>
    <row r="30" spans="1:96" s="6" customFormat="1" ht="20.100000000000001" customHeight="1" x14ac:dyDescent="0.25">
      <c r="A30" s="1"/>
      <c r="B30" s="1">
        <v>25</v>
      </c>
      <c r="C30" s="44">
        <v>24</v>
      </c>
      <c r="D30" s="1" t="str">
        <f t="shared" si="5"/>
        <v>▲1</v>
      </c>
      <c r="E30" s="2" t="s">
        <v>115</v>
      </c>
      <c r="F30" s="47">
        <f t="shared" si="9"/>
        <v>724.04121196047129</v>
      </c>
      <c r="G30" s="15">
        <f>IF(COUNTIF(H30:INDEX(H30:N30,$B$1),"&gt;0")=0,0,
(SUMIF(H30:INDEX(H30:N30,$B$1),"&gt;0",H30:INDEX(H30:N30,$B$1))*$B$1/COUNTIF(H30:INDEX(H30:N30,$B$1),"&gt;0"))*
IF($B$1-COUNTIF(H30:INDEX(H30:N30,$B$1),"&gt;0")&lt;=2,1,
IF($B$1-COUNTIF(H30:INDEX(H30:N30,$B$1),"&gt;0")=3,0.8,
IF($B$1-COUNTIF(H30:INDEX(H30:N30,$B$1),"&gt;0")=4,0.6,0))))</f>
        <v>411</v>
      </c>
      <c r="H30" s="3">
        <v>61</v>
      </c>
      <c r="I30" s="3">
        <v>95</v>
      </c>
      <c r="J30" s="3">
        <v>61</v>
      </c>
      <c r="K30" s="3">
        <v>49</v>
      </c>
      <c r="L30" s="3">
        <v>75</v>
      </c>
      <c r="M30" s="3">
        <v>70</v>
      </c>
      <c r="N30" s="3"/>
      <c r="O30" s="12">
        <f>0.2*IF(COUNTIF(P30:INDEX(P30:V30,$B$1),"&gt;0")=0,0,
(SUMIF(P30:INDEX(P30:V30,$B$1),"&gt;0",P30:INDEX(P30:V30,$B$1))*$B$1/COUNTIF(P30:INDEX(P30:V30,$B$1),"&gt;0"))*
IF($B$1-COUNTIF(P30:INDEX(P30:V30,$B$1),"&gt;0")&lt;=2,1,
IF($B$1-COUNTIF(P30:INDEX(P30:V30,$B$1),"&gt;0")=3,0.8,
IF($B$1-COUNTIF(P30:INDEX(P30:V30,$B$1),"&gt;0")=4,0.6,0))))</f>
        <v>63</v>
      </c>
      <c r="P30" s="3">
        <v>48</v>
      </c>
      <c r="Q30" s="3">
        <v>44</v>
      </c>
      <c r="R30" s="3">
        <v>58</v>
      </c>
      <c r="S30" s="3">
        <v>52</v>
      </c>
      <c r="T30" s="3">
        <v>54</v>
      </c>
      <c r="U30" s="3">
        <v>59</v>
      </c>
      <c r="V30" s="3"/>
      <c r="W30" s="3">
        <f t="shared" si="10"/>
        <v>90</v>
      </c>
      <c r="X30" s="3" t="s">
        <v>33</v>
      </c>
      <c r="Y30" s="3"/>
      <c r="Z30" s="3" t="s">
        <v>17</v>
      </c>
      <c r="AA30" s="3" t="s">
        <v>123</v>
      </c>
      <c r="AB30" s="3" t="s">
        <v>123</v>
      </c>
      <c r="AC30" s="3" t="s">
        <v>176</v>
      </c>
      <c r="AD30" s="3"/>
      <c r="AE30" s="50">
        <f t="shared" si="11"/>
        <v>17.593905551885339</v>
      </c>
      <c r="AF30" s="12"/>
      <c r="AG30" s="12">
        <f t="shared" si="12"/>
        <v>0</v>
      </c>
      <c r="AH30" s="12">
        <f t="shared" si="13"/>
        <v>0</v>
      </c>
      <c r="AI30" s="12"/>
      <c r="AJ30" s="12">
        <f t="shared" si="14"/>
        <v>0</v>
      </c>
      <c r="AK30" s="12">
        <f t="shared" si="15"/>
        <v>0</v>
      </c>
      <c r="AL30" s="12"/>
      <c r="AM30" s="12">
        <f t="shared" si="16"/>
        <v>0</v>
      </c>
      <c r="AN30" s="12">
        <f t="shared" si="17"/>
        <v>0</v>
      </c>
      <c r="AO30" s="12"/>
      <c r="AP30" s="12">
        <f t="shared" si="18"/>
        <v>0</v>
      </c>
      <c r="AQ30" s="12">
        <f t="shared" si="19"/>
        <v>0</v>
      </c>
      <c r="AR30" s="12">
        <v>0.1</v>
      </c>
      <c r="AS30" s="12">
        <f t="shared" si="20"/>
        <v>0.31622776601683794</v>
      </c>
      <c r="AT30" s="12">
        <f t="shared" si="21"/>
        <v>17.593905551885339</v>
      </c>
      <c r="AU30" s="12"/>
      <c r="AV30" s="12"/>
      <c r="AW30" s="12"/>
      <c r="AX30" s="12"/>
      <c r="AY30" s="12"/>
      <c r="AZ30" s="12"/>
      <c r="BA30" s="24"/>
      <c r="BB30" s="12">
        <f t="shared" si="22"/>
        <v>0</v>
      </c>
      <c r="BC30" s="51">
        <f t="shared" si="23"/>
        <v>0</v>
      </c>
      <c r="BD30" s="22">
        <v>0.12</v>
      </c>
      <c r="BE30" s="20">
        <f t="shared" si="24"/>
        <v>0.34641016151377546</v>
      </c>
      <c r="BF30" s="12">
        <f t="shared" si="25"/>
        <v>102.71220707083766</v>
      </c>
      <c r="BG30" s="12"/>
      <c r="BH30" s="12"/>
      <c r="BI30" s="12"/>
      <c r="BJ30" s="24"/>
      <c r="BK30" s="24"/>
      <c r="BL30" s="24">
        <v>12</v>
      </c>
      <c r="BM30" s="12">
        <f t="shared" si="26"/>
        <v>39.735099337748345</v>
      </c>
      <c r="BN30" s="45">
        <f t="shared" si="27"/>
        <v>0</v>
      </c>
      <c r="BO30" s="27">
        <v>0</v>
      </c>
      <c r="BP30" s="27">
        <v>0</v>
      </c>
      <c r="BQ30" s="27"/>
      <c r="BR30" s="27"/>
      <c r="BS30" s="27"/>
      <c r="BT30" s="3"/>
      <c r="BU30" s="1"/>
      <c r="BV30" s="1"/>
      <c r="BW30" s="1"/>
    </row>
    <row r="31" spans="1:96" s="6" customFormat="1" ht="20.100000000000001" customHeight="1" x14ac:dyDescent="0.25">
      <c r="A31" s="1"/>
      <c r="B31" s="1">
        <v>23</v>
      </c>
      <c r="C31" s="44">
        <v>25</v>
      </c>
      <c r="D31" s="1" t="str">
        <f t="shared" si="5"/>
        <v>▼2</v>
      </c>
      <c r="E31" s="2" t="s">
        <v>47</v>
      </c>
      <c r="F31" s="47">
        <f t="shared" si="9"/>
        <v>709.66612821636829</v>
      </c>
      <c r="G31" s="15">
        <f>IF(COUNTIF(H31:INDEX(H31:N31,$B$1),"&gt;0")=0,0,
(SUMIF(H31:INDEX(H31:N31,$B$1),"&gt;0",H31:INDEX(H31:N31,$B$1))*$B$1/COUNTIF(H31:INDEX(H31:N31,$B$1),"&gt;0"))*
IF($B$1-COUNTIF(H31:INDEX(H31:N31,$B$1),"&gt;0")&lt;=2,1,
IF($B$1-COUNTIF(H31:INDEX(H31:N31,$B$1),"&gt;0")=3,0.8,
IF($B$1-COUNTIF(H31:INDEX(H31:N31,$B$1),"&gt;0")=4,0.6,0))))</f>
        <v>400</v>
      </c>
      <c r="H31" s="3">
        <v>48</v>
      </c>
      <c r="I31" s="3">
        <v>66</v>
      </c>
      <c r="J31" s="3">
        <v>70</v>
      </c>
      <c r="K31" s="3">
        <v>81</v>
      </c>
      <c r="L31" s="3">
        <v>74</v>
      </c>
      <c r="M31" s="3">
        <v>61</v>
      </c>
      <c r="N31" s="3"/>
      <c r="O31" s="12">
        <f>0.2*IF(COUNTIF(P31:INDEX(P31:V31,$B$1),"&gt;0")=0,0,
(SUMIF(P31:INDEX(P31:V31,$B$1),"&gt;0",P31:INDEX(P31:V31,$B$1))*$B$1/COUNTIF(P31:INDEX(P31:V31,$B$1),"&gt;0"))*
IF($B$1-COUNTIF(P31:INDEX(P31:V31,$B$1),"&gt;0")&lt;=2,1,
IF($B$1-COUNTIF(P31:INDEX(P31:V31,$B$1),"&gt;0")=3,0.8,
IF($B$1-COUNTIF(P31:INDEX(P31:V31,$B$1),"&gt;0")=4,0.6,0))))</f>
        <v>56</v>
      </c>
      <c r="P31" s="3">
        <v>48</v>
      </c>
      <c r="Q31" s="3">
        <v>40</v>
      </c>
      <c r="R31" s="3">
        <v>43</v>
      </c>
      <c r="S31" s="3">
        <v>45</v>
      </c>
      <c r="T31" s="3">
        <v>53</v>
      </c>
      <c r="U31" s="3">
        <v>51</v>
      </c>
      <c r="V31" s="3"/>
      <c r="W31" s="3">
        <f t="shared" si="10"/>
        <v>20</v>
      </c>
      <c r="X31" s="3"/>
      <c r="Y31" s="3"/>
      <c r="Z31" s="3"/>
      <c r="AA31" s="3"/>
      <c r="AB31" s="3"/>
      <c r="AC31" s="3" t="s">
        <v>176</v>
      </c>
      <c r="AD31" s="3"/>
      <c r="AE31" s="50">
        <f t="shared" si="11"/>
        <v>77.090999449439096</v>
      </c>
      <c r="AF31" s="12">
        <v>0.9</v>
      </c>
      <c r="AG31" s="12">
        <f t="shared" si="12"/>
        <v>0.94868329805051377</v>
      </c>
      <c r="AH31" s="12">
        <f t="shared" si="13"/>
        <v>25.403285652626696</v>
      </c>
      <c r="AI31" s="12"/>
      <c r="AJ31" s="12">
        <f t="shared" si="14"/>
        <v>0</v>
      </c>
      <c r="AK31" s="12">
        <f t="shared" si="15"/>
        <v>0</v>
      </c>
      <c r="AL31" s="12">
        <v>0.7</v>
      </c>
      <c r="AM31" s="12">
        <f t="shared" si="16"/>
        <v>0.83666002653407556</v>
      </c>
      <c r="AN31" s="12">
        <f t="shared" si="17"/>
        <v>33.871453685393718</v>
      </c>
      <c r="AO31" s="12"/>
      <c r="AP31" s="12">
        <f t="shared" si="18"/>
        <v>0</v>
      </c>
      <c r="AQ31" s="12">
        <f t="shared" si="19"/>
        <v>0</v>
      </c>
      <c r="AR31" s="12"/>
      <c r="AS31" s="12">
        <f t="shared" si="20"/>
        <v>0</v>
      </c>
      <c r="AT31" s="12">
        <f t="shared" si="21"/>
        <v>0</v>
      </c>
      <c r="AU31" s="12"/>
      <c r="AV31" s="12"/>
      <c r="AW31" s="12"/>
      <c r="AX31" s="12"/>
      <c r="AY31" s="12"/>
      <c r="AZ31" s="12"/>
      <c r="BA31" s="24">
        <v>28</v>
      </c>
      <c r="BB31" s="12">
        <f t="shared" si="22"/>
        <v>5.2915026221291814</v>
      </c>
      <c r="BC31" s="51">
        <f t="shared" si="23"/>
        <v>17.816260111418678</v>
      </c>
      <c r="BD31" s="22">
        <v>0.13</v>
      </c>
      <c r="BE31" s="20">
        <f t="shared" si="24"/>
        <v>0.36055512754639896</v>
      </c>
      <c r="BF31" s="12">
        <f t="shared" si="25"/>
        <v>106.90625459474383</v>
      </c>
      <c r="BG31" s="12"/>
      <c r="BH31" s="12"/>
      <c r="BI31" s="12"/>
      <c r="BJ31" s="24"/>
      <c r="BK31" s="24"/>
      <c r="BL31" s="24">
        <v>15</v>
      </c>
      <c r="BM31" s="12">
        <f t="shared" si="26"/>
        <v>49.668874172185426</v>
      </c>
      <c r="BN31" s="45">
        <f t="shared" si="27"/>
        <v>0</v>
      </c>
      <c r="BO31" s="27">
        <v>0</v>
      </c>
      <c r="BP31" s="27">
        <v>0</v>
      </c>
      <c r="BQ31" s="27"/>
      <c r="BR31" s="27"/>
      <c r="BS31" s="27"/>
      <c r="BT31" s="3"/>
      <c r="BU31" s="1"/>
      <c r="BV31" s="1"/>
      <c r="BW31" s="1"/>
    </row>
    <row r="32" spans="1:96" s="6" customFormat="1" ht="20.100000000000001" customHeight="1" x14ac:dyDescent="0.25">
      <c r="A32" s="1"/>
      <c r="B32" s="1">
        <v>26</v>
      </c>
      <c r="C32" s="44">
        <v>26</v>
      </c>
      <c r="D32" s="1" t="str">
        <f t="shared" si="5"/>
        <v>—</v>
      </c>
      <c r="E32" s="2" t="s">
        <v>35</v>
      </c>
      <c r="F32" s="47">
        <f t="shared" si="9"/>
        <v>689.24306703772004</v>
      </c>
      <c r="G32" s="15">
        <f>IF(COUNTIF(H32:INDEX(H32:N32,$B$1),"&gt;0")=0,0,
(SUMIF(H32:INDEX(H32:N32,$B$1),"&gt;0",H32:INDEX(H32:N32,$B$1))*$B$1/COUNTIF(H32:INDEX(H32:N32,$B$1),"&gt;0"))*
IF($B$1-COUNTIF(H32:INDEX(H32:N32,$B$1),"&gt;0")&lt;=2,1,
IF($B$1-COUNTIF(H32:INDEX(H32:N32,$B$1),"&gt;0")=3,0.8,
IF($B$1-COUNTIF(H32:INDEX(H32:N32,$B$1),"&gt;0")=4,0.6,0))))</f>
        <v>416</v>
      </c>
      <c r="H32" s="3">
        <v>50</v>
      </c>
      <c r="I32" s="3">
        <v>123</v>
      </c>
      <c r="J32" s="3">
        <v>65</v>
      </c>
      <c r="K32" s="3">
        <v>53</v>
      </c>
      <c r="L32" s="3">
        <v>61</v>
      </c>
      <c r="M32" s="3">
        <v>64</v>
      </c>
      <c r="N32" s="3"/>
      <c r="O32" s="12">
        <f>0.2*IF(COUNTIF(P32:INDEX(P32:V32,$B$1),"&gt;0")=0,0,
(SUMIF(P32:INDEX(P32:V32,$B$1),"&gt;0",P32:INDEX(P32:V32,$B$1))*$B$1/COUNTIF(P32:INDEX(P32:V32,$B$1),"&gt;0"))*
IF($B$1-COUNTIF(P32:INDEX(P32:V32,$B$1),"&gt;0")&lt;=2,1,
IF($B$1-COUNTIF(P32:INDEX(P32:V32,$B$1),"&gt;0")=3,0.8,
IF($B$1-COUNTIF(P32:INDEX(P32:V32,$B$1),"&gt;0")=4,0.6,0))))</f>
        <v>71.600000000000009</v>
      </c>
      <c r="P32" s="3">
        <v>66</v>
      </c>
      <c r="Q32" s="3">
        <v>52</v>
      </c>
      <c r="R32" s="3">
        <v>60</v>
      </c>
      <c r="S32" s="3">
        <v>59</v>
      </c>
      <c r="T32" s="3">
        <v>59</v>
      </c>
      <c r="U32" s="3">
        <v>62</v>
      </c>
      <c r="V32" s="3"/>
      <c r="W32" s="3">
        <f t="shared" si="10"/>
        <v>20</v>
      </c>
      <c r="X32" s="3"/>
      <c r="Y32" s="3"/>
      <c r="Z32" s="3"/>
      <c r="AA32" s="3"/>
      <c r="AB32" s="3"/>
      <c r="AC32" s="3" t="s">
        <v>176</v>
      </c>
      <c r="AD32" s="3"/>
      <c r="AE32" s="50">
        <f t="shared" si="11"/>
        <v>0</v>
      </c>
      <c r="AF32" s="12"/>
      <c r="AG32" s="12">
        <f t="shared" si="12"/>
        <v>0</v>
      </c>
      <c r="AH32" s="12">
        <f t="shared" si="13"/>
        <v>0</v>
      </c>
      <c r="AI32" s="12"/>
      <c r="AJ32" s="12">
        <f t="shared" si="14"/>
        <v>0</v>
      </c>
      <c r="AK32" s="12">
        <f t="shared" si="15"/>
        <v>0</v>
      </c>
      <c r="AL32" s="12"/>
      <c r="AM32" s="12">
        <f t="shared" si="16"/>
        <v>0</v>
      </c>
      <c r="AN32" s="12">
        <f t="shared" si="17"/>
        <v>0</v>
      </c>
      <c r="AO32" s="12"/>
      <c r="AP32" s="12">
        <f t="shared" si="18"/>
        <v>0</v>
      </c>
      <c r="AQ32" s="12">
        <f t="shared" si="19"/>
        <v>0</v>
      </c>
      <c r="AR32" s="12"/>
      <c r="AS32" s="12">
        <f t="shared" si="20"/>
        <v>0</v>
      </c>
      <c r="AT32" s="12">
        <f t="shared" si="21"/>
        <v>0</v>
      </c>
      <c r="AU32" s="12"/>
      <c r="AV32" s="12"/>
      <c r="AW32" s="12"/>
      <c r="AX32" s="12"/>
      <c r="AY32" s="12"/>
      <c r="AZ32" s="12"/>
      <c r="BA32" s="24"/>
      <c r="BB32" s="12">
        <f t="shared" si="22"/>
        <v>0</v>
      </c>
      <c r="BC32" s="51">
        <f t="shared" si="23"/>
        <v>0</v>
      </c>
      <c r="BD32" s="22">
        <v>0.31</v>
      </c>
      <c r="BE32" s="20">
        <f t="shared" si="24"/>
        <v>0.55677643628300222</v>
      </c>
      <c r="BF32" s="12">
        <f t="shared" si="25"/>
        <v>165.08677564699158</v>
      </c>
      <c r="BG32" s="12"/>
      <c r="BH32" s="12"/>
      <c r="BI32" s="12"/>
      <c r="BJ32" s="24"/>
      <c r="BK32" s="24"/>
      <c r="BL32" s="24">
        <v>5</v>
      </c>
      <c r="BM32" s="12">
        <f t="shared" si="26"/>
        <v>16.556291390728479</v>
      </c>
      <c r="BN32" s="45">
        <f t="shared" si="27"/>
        <v>0</v>
      </c>
      <c r="BO32" s="27">
        <v>0</v>
      </c>
      <c r="BP32" s="27">
        <v>0</v>
      </c>
      <c r="BQ32" s="27"/>
      <c r="BR32" s="27"/>
      <c r="BS32" s="27"/>
      <c r="BT32" s="3"/>
      <c r="BU32" s="1"/>
      <c r="BV32" s="1"/>
      <c r="BW32" s="1"/>
    </row>
    <row r="33" spans="1:75" s="6" customFormat="1" ht="20.100000000000001" customHeight="1" x14ac:dyDescent="0.25">
      <c r="A33" s="1"/>
      <c r="B33" s="1">
        <v>30</v>
      </c>
      <c r="C33" s="44">
        <v>27</v>
      </c>
      <c r="D33" s="1" t="str">
        <f t="shared" si="5"/>
        <v>▲3</v>
      </c>
      <c r="E33" s="2" t="s">
        <v>46</v>
      </c>
      <c r="F33" s="47">
        <f t="shared" si="9"/>
        <v>668.24945017285404</v>
      </c>
      <c r="G33" s="15">
        <f>IF(COUNTIF(H33:INDEX(H33:N33,$B$1),"&gt;0")=0,0,
(SUMIF(H33:INDEX(H33:N33,$B$1),"&gt;0",H33:INDEX(H33:N33,$B$1))*$B$1/COUNTIF(H33:INDEX(H33:N33,$B$1),"&gt;0"))*
IF($B$1-COUNTIF(H33:INDEX(H33:N33,$B$1),"&gt;0")&lt;=2,1,
IF($B$1-COUNTIF(H33:INDEX(H33:N33,$B$1),"&gt;0")=3,0.8,
IF($B$1-COUNTIF(H33:INDEX(H33:N33,$B$1),"&gt;0")=4,0.6,0))))</f>
        <v>329</v>
      </c>
      <c r="H33" s="3">
        <v>54</v>
      </c>
      <c r="I33" s="3">
        <v>56</v>
      </c>
      <c r="J33" s="3">
        <v>52</v>
      </c>
      <c r="K33" s="3">
        <v>55</v>
      </c>
      <c r="L33" s="3">
        <v>55</v>
      </c>
      <c r="M33" s="3">
        <v>57</v>
      </c>
      <c r="N33" s="3"/>
      <c r="O33" s="12">
        <f>0.2*IF(COUNTIF(P33:INDEX(P33:V33,$B$1),"&gt;0")=0,0,
(SUMIF(P33:INDEX(P33:V33,$B$1),"&gt;0",P33:INDEX(P33:V33,$B$1))*$B$1/COUNTIF(P33:INDEX(P33:V33,$B$1),"&gt;0"))*
IF($B$1-COUNTIF(P33:INDEX(P33:V33,$B$1),"&gt;0")&lt;=2,1,
IF($B$1-COUNTIF(P33:INDEX(P33:V33,$B$1),"&gt;0")=3,0.8,
IF($B$1-COUNTIF(P33:INDEX(P33:V33,$B$1),"&gt;0")=4,0.6,0))))</f>
        <v>34.6</v>
      </c>
      <c r="P33" s="3">
        <v>27</v>
      </c>
      <c r="Q33" s="3">
        <v>27</v>
      </c>
      <c r="R33" s="3">
        <v>30</v>
      </c>
      <c r="S33" s="3">
        <v>30</v>
      </c>
      <c r="T33" s="3">
        <v>27</v>
      </c>
      <c r="U33" s="3">
        <v>32</v>
      </c>
      <c r="V33" s="3"/>
      <c r="W33" s="3">
        <f t="shared" si="10"/>
        <v>100</v>
      </c>
      <c r="X33" s="3"/>
      <c r="Y33" s="3" t="s">
        <v>17</v>
      </c>
      <c r="Z33" s="3" t="s">
        <v>17</v>
      </c>
      <c r="AA33" s="3" t="s">
        <v>123</v>
      </c>
      <c r="AB33" s="3" t="s">
        <v>123</v>
      </c>
      <c r="AC33" s="3" t="s">
        <v>176</v>
      </c>
      <c r="AD33" s="3"/>
      <c r="AE33" s="50">
        <f t="shared" si="11"/>
        <v>57.283745682039125</v>
      </c>
      <c r="AF33" s="12"/>
      <c r="AG33" s="12">
        <f t="shared" si="12"/>
        <v>0</v>
      </c>
      <c r="AH33" s="12">
        <f t="shared" si="13"/>
        <v>0</v>
      </c>
      <c r="AI33" s="12">
        <v>1.2</v>
      </c>
      <c r="AJ33" s="12">
        <f t="shared" si="14"/>
        <v>1.0954451150103321</v>
      </c>
      <c r="AK33" s="12">
        <f t="shared" si="15"/>
        <v>32.402205835451589</v>
      </c>
      <c r="AL33" s="12"/>
      <c r="AM33" s="12">
        <f t="shared" si="16"/>
        <v>0</v>
      </c>
      <c r="AN33" s="12">
        <f t="shared" si="17"/>
        <v>0</v>
      </c>
      <c r="AO33" s="12"/>
      <c r="AP33" s="12">
        <f t="shared" si="18"/>
        <v>0</v>
      </c>
      <c r="AQ33" s="12">
        <f t="shared" si="19"/>
        <v>0</v>
      </c>
      <c r="AR33" s="12">
        <v>0.2</v>
      </c>
      <c r="AS33" s="12">
        <f t="shared" si="20"/>
        <v>0.44721359549995793</v>
      </c>
      <c r="AT33" s="12">
        <f t="shared" si="21"/>
        <v>24.88153984658754</v>
      </c>
      <c r="AU33" s="12"/>
      <c r="AV33" s="12"/>
      <c r="AW33" s="12"/>
      <c r="AX33" s="12"/>
      <c r="AY33" s="12"/>
      <c r="AZ33" s="12"/>
      <c r="BA33" s="24"/>
      <c r="BB33" s="12">
        <f t="shared" si="22"/>
        <v>0</v>
      </c>
      <c r="BC33" s="51">
        <f t="shared" si="23"/>
        <v>0</v>
      </c>
      <c r="BD33" s="22">
        <v>0.14000000000000001</v>
      </c>
      <c r="BE33" s="20">
        <f t="shared" si="24"/>
        <v>0.37416573867739417</v>
      </c>
      <c r="BF33" s="12">
        <f t="shared" si="25"/>
        <v>110.94186343121221</v>
      </c>
      <c r="BG33" s="12"/>
      <c r="BH33" s="12"/>
      <c r="BI33" s="12"/>
      <c r="BJ33" s="24"/>
      <c r="BK33" s="24"/>
      <c r="BL33" s="24">
        <v>11</v>
      </c>
      <c r="BM33" s="12">
        <f t="shared" si="26"/>
        <v>36.423841059602651</v>
      </c>
      <c r="BN33" s="45">
        <f t="shared" si="27"/>
        <v>0</v>
      </c>
      <c r="BO33" s="27">
        <v>0</v>
      </c>
      <c r="BP33" s="27">
        <v>0</v>
      </c>
      <c r="BQ33" s="27"/>
      <c r="BR33" s="27"/>
      <c r="BS33" s="27"/>
      <c r="BT33" s="3"/>
      <c r="BU33" s="1"/>
      <c r="BV33" s="1"/>
      <c r="BW33" s="1"/>
    </row>
    <row r="34" spans="1:75" s="6" customFormat="1" ht="20.100000000000001" customHeight="1" x14ac:dyDescent="0.25">
      <c r="A34" s="1"/>
      <c r="B34" s="1">
        <v>28</v>
      </c>
      <c r="C34" s="44">
        <v>28</v>
      </c>
      <c r="D34" s="1" t="str">
        <f t="shared" si="5"/>
        <v>—</v>
      </c>
      <c r="E34" s="2" t="s">
        <v>40</v>
      </c>
      <c r="F34" s="47">
        <f t="shared" si="9"/>
        <v>659.26441723807307</v>
      </c>
      <c r="G34" s="15">
        <f>IF(COUNTIF(H34:INDEX(H34:N34,$B$1),"&gt;0")=0,0,
(SUMIF(H34:INDEX(H34:N34,$B$1),"&gt;0",H34:INDEX(H34:N34,$B$1))*$B$1/COUNTIF(H34:INDEX(H34:N34,$B$1),"&gt;0"))*
IF($B$1-COUNTIF(H34:INDEX(H34:N34,$B$1),"&gt;0")&lt;=2,1,
IF($B$1-COUNTIF(H34:INDEX(H34:N34,$B$1),"&gt;0")=3,0.8,
IF($B$1-COUNTIF(H34:INDEX(H34:N34,$B$1),"&gt;0")=4,0.6,0))))</f>
        <v>371</v>
      </c>
      <c r="H34" s="3">
        <v>61</v>
      </c>
      <c r="I34" s="3">
        <v>60</v>
      </c>
      <c r="J34" s="3">
        <v>54</v>
      </c>
      <c r="K34" s="3">
        <v>56</v>
      </c>
      <c r="L34" s="3">
        <v>74</v>
      </c>
      <c r="M34" s="3">
        <v>66</v>
      </c>
      <c r="N34" s="3"/>
      <c r="O34" s="12">
        <f>0.2*IF(COUNTIF(P34:INDEX(P34:V34,$B$1),"&gt;0")=0,0,
(SUMIF(P34:INDEX(P34:V34,$B$1),"&gt;0",P34:INDEX(P34:V34,$B$1))*$B$1/COUNTIF(P34:INDEX(P34:V34,$B$1),"&gt;0"))*
IF($B$1-COUNTIF(P34:INDEX(P34:V34,$B$1),"&gt;0")&lt;=2,1,
IF($B$1-COUNTIF(P34:INDEX(P34:V34,$B$1),"&gt;0")=3,0.8,
IF($B$1-COUNTIF(P34:INDEX(P34:V34,$B$1),"&gt;0")=4,0.6,0))))</f>
        <v>51.2</v>
      </c>
      <c r="P34" s="3">
        <v>53</v>
      </c>
      <c r="Q34" s="3">
        <v>35</v>
      </c>
      <c r="R34" s="3">
        <v>39</v>
      </c>
      <c r="S34" s="3">
        <v>35</v>
      </c>
      <c r="T34" s="3">
        <v>46</v>
      </c>
      <c r="U34" s="3">
        <v>48</v>
      </c>
      <c r="V34" s="3"/>
      <c r="W34" s="3">
        <f t="shared" si="10"/>
        <v>100</v>
      </c>
      <c r="X34" s="3" t="s">
        <v>17</v>
      </c>
      <c r="Y34" s="3" t="s">
        <v>17</v>
      </c>
      <c r="Z34" s="3" t="s">
        <v>33</v>
      </c>
      <c r="AA34" s="3" t="s">
        <v>123</v>
      </c>
      <c r="AB34" s="3" t="s">
        <v>123</v>
      </c>
      <c r="AC34" s="3" t="s">
        <v>176</v>
      </c>
      <c r="AD34" s="3"/>
      <c r="AE34" s="50">
        <f t="shared" si="11"/>
        <v>61.124660829501195</v>
      </c>
      <c r="AF34" s="12"/>
      <c r="AG34" s="12">
        <f t="shared" si="12"/>
        <v>0</v>
      </c>
      <c r="AH34" s="12">
        <f t="shared" si="13"/>
        <v>0</v>
      </c>
      <c r="AI34" s="12">
        <v>0.2</v>
      </c>
      <c r="AJ34" s="12">
        <f t="shared" si="14"/>
        <v>0.44721359549995793</v>
      </c>
      <c r="AK34" s="12">
        <f t="shared" si="15"/>
        <v>13.228145139581317</v>
      </c>
      <c r="AL34" s="12"/>
      <c r="AM34" s="12">
        <f t="shared" si="16"/>
        <v>0</v>
      </c>
      <c r="AN34" s="12">
        <f t="shared" si="17"/>
        <v>0</v>
      </c>
      <c r="AO34" s="12"/>
      <c r="AP34" s="12">
        <f t="shared" si="18"/>
        <v>0</v>
      </c>
      <c r="AQ34" s="12">
        <f t="shared" si="19"/>
        <v>0</v>
      </c>
      <c r="AR34" s="12">
        <v>0.1</v>
      </c>
      <c r="AS34" s="12">
        <f t="shared" si="20"/>
        <v>0.31622776601683794</v>
      </c>
      <c r="AT34" s="12">
        <f t="shared" si="21"/>
        <v>17.593905551885339</v>
      </c>
      <c r="AU34" s="12"/>
      <c r="AV34" s="12"/>
      <c r="AW34" s="12"/>
      <c r="AX34" s="12"/>
      <c r="AY34" s="12"/>
      <c r="AZ34" s="12"/>
      <c r="BA34" s="24">
        <v>81</v>
      </c>
      <c r="BB34" s="12">
        <f t="shared" si="22"/>
        <v>9</v>
      </c>
      <c r="BC34" s="51">
        <f t="shared" si="23"/>
        <v>30.302610138034538</v>
      </c>
      <c r="BD34" s="22">
        <v>0.06</v>
      </c>
      <c r="BE34" s="20">
        <f t="shared" si="24"/>
        <v>0.2449489742783178</v>
      </c>
      <c r="BF34" s="12">
        <f t="shared" si="25"/>
        <v>72.628498130426152</v>
      </c>
      <c r="BG34" s="12"/>
      <c r="BH34" s="12"/>
      <c r="BI34" s="12"/>
      <c r="BJ34" s="24"/>
      <c r="BK34" s="24"/>
      <c r="BL34" s="24">
        <v>1</v>
      </c>
      <c r="BM34" s="12">
        <f t="shared" si="26"/>
        <v>3.3112582781456954</v>
      </c>
      <c r="BN34" s="45">
        <f t="shared" si="27"/>
        <v>0</v>
      </c>
      <c r="BO34" s="27">
        <v>0</v>
      </c>
      <c r="BP34" s="27">
        <v>0</v>
      </c>
      <c r="BQ34" s="27"/>
      <c r="BR34" s="27"/>
      <c r="BS34" s="27"/>
      <c r="BT34" s="3"/>
      <c r="BU34" s="1"/>
      <c r="BV34" s="1"/>
      <c r="BW34" s="1"/>
    </row>
    <row r="35" spans="1:75" s="6" customFormat="1" ht="20.100000000000001" customHeight="1" x14ac:dyDescent="0.25">
      <c r="A35" s="1"/>
      <c r="B35" s="1">
        <v>27</v>
      </c>
      <c r="C35" s="44">
        <v>29</v>
      </c>
      <c r="D35" s="1" t="str">
        <f t="shared" si="5"/>
        <v>▼2</v>
      </c>
      <c r="E35" s="2" t="s">
        <v>42</v>
      </c>
      <c r="F35" s="47">
        <f t="shared" si="9"/>
        <v>652.64817734841131</v>
      </c>
      <c r="G35" s="15">
        <f>IF(COUNTIF(H35:INDEX(H35:N35,$B$1),"&gt;0")=0,0,
(SUMIF(H35:INDEX(H35:N35,$B$1),"&gt;0",H35:INDEX(H35:N35,$B$1))*$B$1/COUNTIF(H35:INDEX(H35:N35,$B$1),"&gt;0"))*
IF($B$1-COUNTIF(H35:INDEX(H35:N35,$B$1),"&gt;0")&lt;=2,1,
IF($B$1-COUNTIF(H35:INDEX(H35:N35,$B$1),"&gt;0")=3,0.8,
IF($B$1-COUNTIF(H35:INDEX(H35:N35,$B$1),"&gt;0")=4,0.6,0))))</f>
        <v>256</v>
      </c>
      <c r="H35" s="3">
        <v>37</v>
      </c>
      <c r="I35" s="3">
        <v>41</v>
      </c>
      <c r="J35" s="3">
        <v>50</v>
      </c>
      <c r="K35" s="3">
        <v>41</v>
      </c>
      <c r="L35" s="3">
        <v>37</v>
      </c>
      <c r="M35" s="3">
        <v>50</v>
      </c>
      <c r="N35" s="3"/>
      <c r="O35" s="12">
        <f>0.2*IF(COUNTIF(P35:INDEX(P35:V35,$B$1),"&gt;0")=0,0,
(SUMIF(P35:INDEX(P35:V35,$B$1),"&gt;0",P35:INDEX(P35:V35,$B$1))*$B$1/COUNTIF(P35:INDEX(P35:V35,$B$1),"&gt;0"))*
IF($B$1-COUNTIF(P35:INDEX(P35:V35,$B$1),"&gt;0")&lt;=2,1,
IF($B$1-COUNTIF(P35:INDEX(P35:V35,$B$1),"&gt;0")=3,0.8,
IF($B$1-COUNTIF(P35:INDEX(P35:V35,$B$1),"&gt;0")=4,0.6,0))))</f>
        <v>100.2</v>
      </c>
      <c r="P35" s="3">
        <v>87</v>
      </c>
      <c r="Q35" s="3">
        <v>68</v>
      </c>
      <c r="R35" s="3">
        <v>90</v>
      </c>
      <c r="S35" s="3">
        <v>86</v>
      </c>
      <c r="T35" s="3">
        <v>92</v>
      </c>
      <c r="U35" s="3">
        <v>78</v>
      </c>
      <c r="V35" s="3"/>
      <c r="W35" s="3">
        <f t="shared" si="10"/>
        <v>100</v>
      </c>
      <c r="X35" s="3" t="s">
        <v>15</v>
      </c>
      <c r="Y35" s="3" t="s">
        <v>15</v>
      </c>
      <c r="Z35" s="3" t="s">
        <v>15</v>
      </c>
      <c r="AA35" s="3" t="s">
        <v>122</v>
      </c>
      <c r="AB35" s="3" t="s">
        <v>121</v>
      </c>
      <c r="AC35" s="3" t="s">
        <v>176</v>
      </c>
      <c r="AD35" s="3"/>
      <c r="AE35" s="50">
        <f t="shared" si="11"/>
        <v>50.638924253971105</v>
      </c>
      <c r="AF35" s="12">
        <v>2.8</v>
      </c>
      <c r="AG35" s="12">
        <f t="shared" si="12"/>
        <v>1.6733200530681511</v>
      </c>
      <c r="AH35" s="12">
        <f t="shared" si="13"/>
        <v>44.807184213856928</v>
      </c>
      <c r="AI35" s="12"/>
      <c r="AJ35" s="12">
        <f t="shared" si="14"/>
        <v>0</v>
      </c>
      <c r="AK35" s="12">
        <f t="shared" si="15"/>
        <v>0</v>
      </c>
      <c r="AL35" s="12"/>
      <c r="AM35" s="12">
        <f t="shared" si="16"/>
        <v>0</v>
      </c>
      <c r="AN35" s="12">
        <f t="shared" si="17"/>
        <v>0</v>
      </c>
      <c r="AO35" s="12"/>
      <c r="AP35" s="12">
        <f t="shared" si="18"/>
        <v>0</v>
      </c>
      <c r="AQ35" s="12">
        <f t="shared" si="19"/>
        <v>0</v>
      </c>
      <c r="AR35" s="12"/>
      <c r="AS35" s="12">
        <f t="shared" si="20"/>
        <v>0</v>
      </c>
      <c r="AT35" s="12">
        <f t="shared" si="21"/>
        <v>0</v>
      </c>
      <c r="AU35" s="12"/>
      <c r="AV35" s="12"/>
      <c r="AW35" s="12"/>
      <c r="AX35" s="12"/>
      <c r="AY35" s="12"/>
      <c r="AZ35" s="12"/>
      <c r="BA35" s="24">
        <v>3</v>
      </c>
      <c r="BB35" s="12">
        <f t="shared" si="22"/>
        <v>1.7320508075688772</v>
      </c>
      <c r="BC35" s="51">
        <f t="shared" si="23"/>
        <v>5.8317400401141741</v>
      </c>
      <c r="BD35" s="22">
        <v>0.21</v>
      </c>
      <c r="BE35" s="20">
        <f t="shared" si="24"/>
        <v>0.45825756949558399</v>
      </c>
      <c r="BF35" s="12">
        <f t="shared" si="25"/>
        <v>135.87547826000323</v>
      </c>
      <c r="BG35" s="12"/>
      <c r="BH35" s="12"/>
      <c r="BI35" s="12"/>
      <c r="BJ35" s="24"/>
      <c r="BK35" s="24"/>
      <c r="BL35" s="24">
        <v>3</v>
      </c>
      <c r="BM35" s="12">
        <f t="shared" si="26"/>
        <v>9.9337748344370862</v>
      </c>
      <c r="BN35" s="45">
        <f t="shared" si="27"/>
        <v>0</v>
      </c>
      <c r="BO35" s="27">
        <v>0</v>
      </c>
      <c r="BP35" s="27">
        <v>0</v>
      </c>
      <c r="BQ35" s="27"/>
      <c r="BR35" s="27"/>
      <c r="BS35" s="27"/>
      <c r="BT35" s="3"/>
      <c r="BU35" s="1"/>
      <c r="BV35" s="1"/>
      <c r="BW35" s="1"/>
    </row>
    <row r="36" spans="1:75" s="6" customFormat="1" ht="20.100000000000001" customHeight="1" x14ac:dyDescent="0.25">
      <c r="A36" s="1"/>
      <c r="B36" s="1">
        <v>29</v>
      </c>
      <c r="C36" s="44">
        <v>30</v>
      </c>
      <c r="D36" s="1" t="str">
        <f t="shared" si="5"/>
        <v>▼1</v>
      </c>
      <c r="E36" s="2" t="s">
        <v>39</v>
      </c>
      <c r="F36" s="47">
        <f t="shared" si="9"/>
        <v>649.77313042311971</v>
      </c>
      <c r="G36" s="15">
        <f>IF(COUNTIF(H36:INDEX(H36:N36,$B$1),"&gt;0")=0,0,
(SUMIF(H36:INDEX(H36:N36,$B$1),"&gt;0",H36:INDEX(H36:N36,$B$1))*$B$1/COUNTIF(H36:INDEX(H36:N36,$B$1),"&gt;0"))*
IF($B$1-COUNTIF(H36:INDEX(H36:N36,$B$1),"&gt;0")&lt;=2,1,
IF($B$1-COUNTIF(H36:INDEX(H36:N36,$B$1),"&gt;0")=3,0.8,
IF($B$1-COUNTIF(H36:INDEX(H36:N36,$B$1),"&gt;0")=4,0.6,0))))</f>
        <v>324</v>
      </c>
      <c r="H36" s="3">
        <v>74</v>
      </c>
      <c r="I36" s="3">
        <v>70</v>
      </c>
      <c r="J36" s="3">
        <v>53</v>
      </c>
      <c r="K36" s="3">
        <v>41</v>
      </c>
      <c r="L36" s="3">
        <v>45</v>
      </c>
      <c r="M36" s="3">
        <v>41</v>
      </c>
      <c r="N36" s="3"/>
      <c r="O36" s="12">
        <f>0.2*IF(COUNTIF(P36:INDEX(P36:V36,$B$1),"&gt;0")=0,0,
(SUMIF(P36:INDEX(P36:V36,$B$1),"&gt;0",P36:INDEX(P36:V36,$B$1))*$B$1/COUNTIF(P36:INDEX(P36:V36,$B$1),"&gt;0"))*
IF($B$1-COUNTIF(P36:INDEX(P36:V36,$B$1),"&gt;0")&lt;=2,1,
IF($B$1-COUNTIF(P36:INDEX(P36:V36,$B$1),"&gt;0")=3,0.8,
IF($B$1-COUNTIF(P36:INDEX(P36:V36,$B$1),"&gt;0")=4,0.6,0))))</f>
        <v>41.2</v>
      </c>
      <c r="P36" s="3">
        <v>35</v>
      </c>
      <c r="Q36" s="3">
        <v>31</v>
      </c>
      <c r="R36" s="3">
        <v>39</v>
      </c>
      <c r="S36" s="3">
        <v>37</v>
      </c>
      <c r="T36" s="3">
        <v>34</v>
      </c>
      <c r="U36" s="3">
        <v>30</v>
      </c>
      <c r="V36" s="3"/>
      <c r="W36" s="3">
        <f t="shared" si="10"/>
        <v>80</v>
      </c>
      <c r="X36" s="3" t="s">
        <v>17</v>
      </c>
      <c r="Y36" s="3" t="s">
        <v>17</v>
      </c>
      <c r="Z36" s="3"/>
      <c r="AA36" s="3"/>
      <c r="AB36" s="3" t="s">
        <v>123</v>
      </c>
      <c r="AC36" s="3" t="s">
        <v>176</v>
      </c>
      <c r="AD36" s="3"/>
      <c r="AE36" s="50">
        <f t="shared" si="11"/>
        <v>17.593905551885339</v>
      </c>
      <c r="AF36" s="12"/>
      <c r="AG36" s="12">
        <f t="shared" si="12"/>
        <v>0</v>
      </c>
      <c r="AH36" s="12">
        <f t="shared" si="13"/>
        <v>0</v>
      </c>
      <c r="AI36" s="12"/>
      <c r="AJ36" s="12">
        <f t="shared" si="14"/>
        <v>0</v>
      </c>
      <c r="AK36" s="12">
        <f t="shared" si="15"/>
        <v>0</v>
      </c>
      <c r="AL36" s="12"/>
      <c r="AM36" s="12">
        <f t="shared" si="16"/>
        <v>0</v>
      </c>
      <c r="AN36" s="12">
        <f t="shared" si="17"/>
        <v>0</v>
      </c>
      <c r="AO36" s="12"/>
      <c r="AP36" s="12">
        <f t="shared" si="18"/>
        <v>0</v>
      </c>
      <c r="AQ36" s="12">
        <f t="shared" si="19"/>
        <v>0</v>
      </c>
      <c r="AR36" s="12">
        <v>0.1</v>
      </c>
      <c r="AS36" s="12">
        <f t="shared" si="20"/>
        <v>0.31622776601683794</v>
      </c>
      <c r="AT36" s="12">
        <f t="shared" si="21"/>
        <v>17.593905551885339</v>
      </c>
      <c r="AU36" s="12"/>
      <c r="AV36" s="12"/>
      <c r="AW36" s="12"/>
      <c r="AX36" s="12"/>
      <c r="AY36" s="12"/>
      <c r="AZ36" s="12"/>
      <c r="BA36" s="24"/>
      <c r="BB36" s="12">
        <f t="shared" si="22"/>
        <v>0</v>
      </c>
      <c r="BC36" s="51">
        <f t="shared" si="23"/>
        <v>0</v>
      </c>
      <c r="BD36" s="22">
        <v>0.37</v>
      </c>
      <c r="BE36" s="20">
        <f t="shared" si="24"/>
        <v>0.60827625302982191</v>
      </c>
      <c r="BF36" s="12">
        <f t="shared" si="25"/>
        <v>180.35670831494303</v>
      </c>
      <c r="BG36" s="12"/>
      <c r="BH36" s="12"/>
      <c r="BI36" s="12"/>
      <c r="BJ36" s="24"/>
      <c r="BK36" s="24"/>
      <c r="BL36" s="24">
        <v>2</v>
      </c>
      <c r="BM36" s="12">
        <f t="shared" si="26"/>
        <v>6.6225165562913908</v>
      </c>
      <c r="BN36" s="45">
        <f t="shared" si="27"/>
        <v>0</v>
      </c>
      <c r="BO36" s="27">
        <v>0</v>
      </c>
      <c r="BP36" s="27">
        <v>0</v>
      </c>
      <c r="BQ36" s="27"/>
      <c r="BR36" s="27"/>
      <c r="BS36" s="27"/>
      <c r="BT36" s="3"/>
      <c r="BU36" s="1"/>
      <c r="BV36" s="1"/>
      <c r="BW36" s="1"/>
    </row>
    <row r="37" spans="1:75" s="6" customFormat="1" ht="20.100000000000001" customHeight="1" x14ac:dyDescent="0.25">
      <c r="A37" s="1"/>
      <c r="B37" s="1">
        <v>31</v>
      </c>
      <c r="C37" s="44">
        <v>31</v>
      </c>
      <c r="D37" s="1" t="str">
        <f t="shared" si="5"/>
        <v>—</v>
      </c>
      <c r="E37" s="2" t="s">
        <v>48</v>
      </c>
      <c r="F37" s="47">
        <f t="shared" si="9"/>
        <v>642.20660586283839</v>
      </c>
      <c r="G37" s="15">
        <f>IF(COUNTIF(H37:INDEX(H37:N37,$B$1),"&gt;0")=0,0,
(SUMIF(H37:INDEX(H37:N37,$B$1),"&gt;0",H37:INDEX(H37:N37,$B$1))*$B$1/COUNTIF(H37:INDEX(H37:N37,$B$1),"&gt;0"))*
IF($B$1-COUNTIF(H37:INDEX(H37:N37,$B$1),"&gt;0")&lt;=2,1,
IF($B$1-COUNTIF(H37:INDEX(H37:N37,$B$1),"&gt;0")=3,0.8,
IF($B$1-COUNTIF(H37:INDEX(H37:N37,$B$1),"&gt;0")=4,0.6,0))))</f>
        <v>338</v>
      </c>
      <c r="H37" s="3">
        <v>65</v>
      </c>
      <c r="I37" s="3">
        <v>55</v>
      </c>
      <c r="J37" s="3">
        <v>63</v>
      </c>
      <c r="K37" s="3">
        <v>48</v>
      </c>
      <c r="L37" s="3">
        <v>41</v>
      </c>
      <c r="M37" s="3">
        <v>66</v>
      </c>
      <c r="N37" s="3"/>
      <c r="O37" s="12">
        <f>0.2*IF(COUNTIF(P37:INDEX(P37:V37,$B$1),"&gt;0")=0,0,
(SUMIF(P37:INDEX(P37:V37,$B$1),"&gt;0",P37:INDEX(P37:V37,$B$1))*$B$1/COUNTIF(P37:INDEX(P37:V37,$B$1),"&gt;0"))*
IF($B$1-COUNTIF(P37:INDEX(P37:V37,$B$1),"&gt;0")&lt;=2,1,
IF($B$1-COUNTIF(P37:INDEX(P37:V37,$B$1),"&gt;0")=3,0.8,
IF($B$1-COUNTIF(P37:INDEX(P37:V37,$B$1),"&gt;0")=4,0.6,0))))</f>
        <v>53.6</v>
      </c>
      <c r="P37" s="3">
        <v>48</v>
      </c>
      <c r="Q37" s="3">
        <v>39</v>
      </c>
      <c r="R37" s="3">
        <v>49</v>
      </c>
      <c r="S37" s="3">
        <v>47</v>
      </c>
      <c r="T37" s="3">
        <v>40</v>
      </c>
      <c r="U37" s="3">
        <v>45</v>
      </c>
      <c r="V37" s="3"/>
      <c r="W37" s="3">
        <f t="shared" si="10"/>
        <v>40</v>
      </c>
      <c r="X37" s="3"/>
      <c r="Y37" s="3"/>
      <c r="Z37" s="3"/>
      <c r="AA37" s="3"/>
      <c r="AB37" s="3" t="s">
        <v>121</v>
      </c>
      <c r="AC37" s="3" t="s">
        <v>176</v>
      </c>
      <c r="AD37" s="3"/>
      <c r="AE37" s="50">
        <f t="shared" si="11"/>
        <v>44.939405158890658</v>
      </c>
      <c r="AF37" s="12">
        <v>0.9</v>
      </c>
      <c r="AG37" s="12">
        <f t="shared" si="12"/>
        <v>0.94868329805051377</v>
      </c>
      <c r="AH37" s="12">
        <f t="shared" si="13"/>
        <v>25.403285652626696</v>
      </c>
      <c r="AI37" s="12"/>
      <c r="AJ37" s="12">
        <f t="shared" si="14"/>
        <v>0</v>
      </c>
      <c r="AK37" s="12">
        <f t="shared" si="15"/>
        <v>0</v>
      </c>
      <c r="AL37" s="12">
        <v>0.1</v>
      </c>
      <c r="AM37" s="12">
        <f t="shared" si="16"/>
        <v>0.31622776601683794</v>
      </c>
      <c r="AN37" s="12">
        <f t="shared" si="17"/>
        <v>12.802206142256283</v>
      </c>
      <c r="AO37" s="12"/>
      <c r="AP37" s="12">
        <f t="shared" si="18"/>
        <v>0</v>
      </c>
      <c r="AQ37" s="12">
        <f t="shared" si="19"/>
        <v>0</v>
      </c>
      <c r="AR37" s="12"/>
      <c r="AS37" s="12">
        <f t="shared" si="20"/>
        <v>0</v>
      </c>
      <c r="AT37" s="12">
        <f t="shared" si="21"/>
        <v>0</v>
      </c>
      <c r="AU37" s="12"/>
      <c r="AV37" s="12"/>
      <c r="AW37" s="12"/>
      <c r="AX37" s="12"/>
      <c r="AY37" s="12"/>
      <c r="AZ37" s="12"/>
      <c r="BA37" s="24">
        <v>4</v>
      </c>
      <c r="BB37" s="12">
        <f t="shared" si="22"/>
        <v>2</v>
      </c>
      <c r="BC37" s="51">
        <f t="shared" si="23"/>
        <v>6.7339133640076758</v>
      </c>
      <c r="BD37" s="22">
        <v>0.19</v>
      </c>
      <c r="BE37" s="20">
        <f t="shared" si="24"/>
        <v>0.43588989435406733</v>
      </c>
      <c r="BF37" s="12">
        <f t="shared" si="25"/>
        <v>129.24335964434499</v>
      </c>
      <c r="BG37" s="12"/>
      <c r="BH37" s="12"/>
      <c r="BI37" s="12"/>
      <c r="BJ37" s="24"/>
      <c r="BK37" s="24"/>
      <c r="BL37" s="24">
        <v>11</v>
      </c>
      <c r="BM37" s="12">
        <f t="shared" si="26"/>
        <v>36.423841059602651</v>
      </c>
      <c r="BN37" s="45">
        <f t="shared" si="27"/>
        <v>0</v>
      </c>
      <c r="BO37" s="27">
        <v>0</v>
      </c>
      <c r="BP37" s="27">
        <v>0</v>
      </c>
      <c r="BQ37" s="27"/>
      <c r="BR37" s="27"/>
      <c r="BS37" s="27"/>
      <c r="BT37" s="3"/>
      <c r="BU37" s="1"/>
      <c r="BV37" s="1"/>
      <c r="BW37" s="1"/>
    </row>
    <row r="38" spans="1:75" s="6" customFormat="1" ht="20.100000000000001" customHeight="1" x14ac:dyDescent="0.25">
      <c r="A38" s="1"/>
      <c r="B38" s="1">
        <v>32</v>
      </c>
      <c r="C38" s="44">
        <v>32</v>
      </c>
      <c r="D38" s="1" t="str">
        <f t="shared" ref="D38:D69" si="28">IF(C38&lt;B38,"▲"&amp;B38-C38,IF(C38&gt;B38,"▼"&amp;C38-B38,"—"))</f>
        <v>—</v>
      </c>
      <c r="E38" s="2" t="s">
        <v>50</v>
      </c>
      <c r="F38" s="47">
        <f t="shared" si="9"/>
        <v>622.03916727645571</v>
      </c>
      <c r="G38" s="15">
        <f>IF(COUNTIF(H38:INDEX(H38:N38,$B$1),"&gt;0")=0,0,
(SUMIF(H38:INDEX(H38:N38,$B$1),"&gt;0",H38:INDEX(H38:N38,$B$1))*$B$1/COUNTIF(H38:INDEX(H38:N38,$B$1),"&gt;0"))*
IF($B$1-COUNTIF(H38:INDEX(H38:N38,$B$1),"&gt;0")&lt;=2,1,
IF($B$1-COUNTIF(H38:INDEX(H38:N38,$B$1),"&gt;0")=3,0.8,
IF($B$1-COUNTIF(H38:INDEX(H38:N38,$B$1),"&gt;0")=4,0.6,0))))</f>
        <v>244</v>
      </c>
      <c r="H38" s="3">
        <v>37</v>
      </c>
      <c r="I38" s="3">
        <v>38</v>
      </c>
      <c r="J38" s="3">
        <v>51</v>
      </c>
      <c r="K38" s="3">
        <v>42</v>
      </c>
      <c r="L38" s="3">
        <v>39</v>
      </c>
      <c r="M38" s="3">
        <v>37</v>
      </c>
      <c r="N38" s="3"/>
      <c r="O38" s="12">
        <f>0.2*IF(COUNTIF(P38:INDEX(P38:V38,$B$1),"&gt;0")=0,0,
(SUMIF(P38:INDEX(P38:V38,$B$1),"&gt;0",P38:INDEX(P38:V38,$B$1))*$B$1/COUNTIF(P38:INDEX(P38:V38,$B$1),"&gt;0"))*
IF($B$1-COUNTIF(P38:INDEX(P38:V38,$B$1),"&gt;0")&lt;=2,1,
IF($B$1-COUNTIF(P38:INDEX(P38:V38,$B$1),"&gt;0")=3,0.8,
IF($B$1-COUNTIF(P38:INDEX(P38:V38,$B$1),"&gt;0")=4,0.6,0))))</f>
        <v>57.800000000000004</v>
      </c>
      <c r="P38" s="3">
        <v>51</v>
      </c>
      <c r="Q38" s="3">
        <v>42</v>
      </c>
      <c r="R38" s="3">
        <v>51</v>
      </c>
      <c r="S38" s="3">
        <v>52</v>
      </c>
      <c r="T38" s="3">
        <v>48</v>
      </c>
      <c r="U38" s="3">
        <v>45</v>
      </c>
      <c r="V38" s="3"/>
      <c r="W38" s="3">
        <f t="shared" si="10"/>
        <v>100</v>
      </c>
      <c r="X38" s="3" t="s">
        <v>30</v>
      </c>
      <c r="Y38" s="3" t="s">
        <v>15</v>
      </c>
      <c r="Z38" s="3" t="s">
        <v>15</v>
      </c>
      <c r="AA38" s="3" t="s">
        <v>121</v>
      </c>
      <c r="AB38" s="3" t="s">
        <v>121</v>
      </c>
      <c r="AC38" s="3" t="s">
        <v>176</v>
      </c>
      <c r="AD38" s="3"/>
      <c r="AE38" s="50">
        <f t="shared" si="11"/>
        <v>17.593905551885339</v>
      </c>
      <c r="AF38" s="12"/>
      <c r="AG38" s="12">
        <f t="shared" si="12"/>
        <v>0</v>
      </c>
      <c r="AH38" s="12">
        <f t="shared" si="13"/>
        <v>0</v>
      </c>
      <c r="AI38" s="12"/>
      <c r="AJ38" s="12">
        <f t="shared" si="14"/>
        <v>0</v>
      </c>
      <c r="AK38" s="12">
        <f t="shared" si="15"/>
        <v>0</v>
      </c>
      <c r="AL38" s="12"/>
      <c r="AM38" s="12">
        <f t="shared" si="16"/>
        <v>0</v>
      </c>
      <c r="AN38" s="12">
        <f t="shared" si="17"/>
        <v>0</v>
      </c>
      <c r="AO38" s="12"/>
      <c r="AP38" s="12">
        <f t="shared" si="18"/>
        <v>0</v>
      </c>
      <c r="AQ38" s="12">
        <f t="shared" si="19"/>
        <v>0</v>
      </c>
      <c r="AR38" s="12">
        <v>0.1</v>
      </c>
      <c r="AS38" s="12">
        <f t="shared" si="20"/>
        <v>0.31622776601683794</v>
      </c>
      <c r="AT38" s="12">
        <f t="shared" si="21"/>
        <v>17.593905551885339</v>
      </c>
      <c r="AU38" s="12"/>
      <c r="AV38" s="12"/>
      <c r="AW38" s="12"/>
      <c r="AX38" s="12"/>
      <c r="AY38" s="12"/>
      <c r="AZ38" s="12"/>
      <c r="BA38" s="24"/>
      <c r="BB38" s="12">
        <f t="shared" si="22"/>
        <v>0</v>
      </c>
      <c r="BC38" s="51">
        <f t="shared" si="23"/>
        <v>0</v>
      </c>
      <c r="BD38" s="22">
        <v>0.38</v>
      </c>
      <c r="BE38" s="20">
        <f t="shared" si="24"/>
        <v>0.61644140029689765</v>
      </c>
      <c r="BF38" s="12">
        <f t="shared" si="25"/>
        <v>182.77771205569621</v>
      </c>
      <c r="BG38" s="12"/>
      <c r="BH38" s="12"/>
      <c r="BI38" s="12"/>
      <c r="BJ38" s="24"/>
      <c r="BK38" s="24"/>
      <c r="BL38" s="24">
        <v>6</v>
      </c>
      <c r="BM38" s="12">
        <f t="shared" si="26"/>
        <v>19.867549668874172</v>
      </c>
      <c r="BN38" s="45">
        <f t="shared" si="27"/>
        <v>0</v>
      </c>
      <c r="BO38" s="27">
        <v>0</v>
      </c>
      <c r="BP38" s="27">
        <v>0</v>
      </c>
      <c r="BQ38" s="27"/>
      <c r="BR38" s="27"/>
      <c r="BS38" s="27"/>
      <c r="BT38" s="3"/>
      <c r="BU38" s="1"/>
      <c r="BV38" s="1"/>
      <c r="BW38" s="1"/>
    </row>
    <row r="39" spans="1:75" s="6" customFormat="1" ht="20.100000000000001" customHeight="1" x14ac:dyDescent="0.25">
      <c r="A39" s="1"/>
      <c r="B39" s="1">
        <v>35</v>
      </c>
      <c r="C39" s="44">
        <v>33</v>
      </c>
      <c r="D39" s="1" t="str">
        <f t="shared" si="28"/>
        <v>▲2</v>
      </c>
      <c r="E39" s="2" t="s">
        <v>60</v>
      </c>
      <c r="F39" s="47">
        <f t="shared" ref="F39:F70" si="29">G39+O39+W39+AE39+BF39+BM39+BN39</f>
        <v>585.6089380353834</v>
      </c>
      <c r="G39" s="15">
        <f>IF(COUNTIF(H39:INDEX(H39:N39,$B$1),"&gt;0")=0,0,
(SUMIF(H39:INDEX(H39:N39,$B$1),"&gt;0",H39:INDEX(H39:N39,$B$1))*$B$1/COUNTIF(H39:INDEX(H39:N39,$B$1),"&gt;0"))*
IF($B$1-COUNTIF(H39:INDEX(H39:N39,$B$1),"&gt;0")&lt;=2,1,
IF($B$1-COUNTIF(H39:INDEX(H39:N39,$B$1),"&gt;0")=3,0.8,
IF($B$1-COUNTIF(H39:INDEX(H39:N39,$B$1),"&gt;0")=4,0.6,0))))</f>
        <v>299</v>
      </c>
      <c r="H39" s="3">
        <v>46</v>
      </c>
      <c r="I39" s="3">
        <v>49</v>
      </c>
      <c r="J39" s="3">
        <v>42</v>
      </c>
      <c r="K39" s="3">
        <v>64</v>
      </c>
      <c r="L39" s="3">
        <v>50</v>
      </c>
      <c r="M39" s="3">
        <v>48</v>
      </c>
      <c r="N39" s="3"/>
      <c r="O39" s="12">
        <f>0.2*IF(COUNTIF(P39:INDEX(P39:V39,$B$1),"&gt;0")=0,0,
(SUMIF(P39:INDEX(P39:V39,$B$1),"&gt;0",P39:INDEX(P39:V39,$B$1))*$B$1/COUNTIF(P39:INDEX(P39:V39,$B$1),"&gt;0"))*
IF($B$1-COUNTIF(P39:INDEX(P39:V39,$B$1),"&gt;0")&lt;=2,1,
IF($B$1-COUNTIF(P39:INDEX(P39:V39,$B$1),"&gt;0")=3,0.8,
IF($B$1-COUNTIF(P39:INDEX(P39:V39,$B$1),"&gt;0")=4,0.6,0))))</f>
        <v>56</v>
      </c>
      <c r="P39" s="3">
        <v>50</v>
      </c>
      <c r="Q39" s="3">
        <v>41</v>
      </c>
      <c r="R39" s="3">
        <v>46</v>
      </c>
      <c r="S39" s="3">
        <v>48</v>
      </c>
      <c r="T39" s="3">
        <v>47</v>
      </c>
      <c r="U39" s="3">
        <v>48</v>
      </c>
      <c r="V39" s="3"/>
      <c r="W39" s="3">
        <f t="shared" ref="W39:W70" si="30">MIN(100,
IF($B$1&gt;=1,IFERROR(VALUE(SUBSTITUTE(SUBSTITUTE(TRIM(X39),"A",""),"B","")),0),0)+
IF($B$1&gt;=2,IFERROR(VALUE(SUBSTITUTE(SUBSTITUTE(TRIM(Y39),"A",""),"B","")),0),0)+
IF($B$1&gt;=3,IFERROR(VALUE(SUBSTITUTE(SUBSTITUTE(TRIM(Z39),"A",""),"B","")),0),0)+
IF($B$1&gt;=4,IFERROR(VALUE(SUBSTITUTE(SUBSTITUTE(TRIM(AA39),"A",""),"B","")),0),0)+
IF($B$1&gt;=5,IFERROR(VALUE(SUBSTITUTE(SUBSTITUTE(TRIM(AB39),"A",""),"B","")),0),0)+
IF($B$1&gt;=6,IFERROR(VALUE(SUBSTITUTE(SUBSTITUTE(TRIM(AC39),"A",""),"B","")),0),0)+
IF($B$1&gt;=7,IFERROR(VALUE(SUBSTITUTE(SUBSTITUTE(TRIM(AD39),"A",""),"B","")),0),0)
)</f>
        <v>20</v>
      </c>
      <c r="X39" s="3"/>
      <c r="Y39" s="3"/>
      <c r="Z39" s="3"/>
      <c r="AA39" s="3"/>
      <c r="AB39" s="3"/>
      <c r="AC39" s="3" t="s">
        <v>176</v>
      </c>
      <c r="AD39" s="3"/>
      <c r="AE39" s="50">
        <f t="shared" ref="AE39:AE70" si="31">AH39+AK39+AN39+AQ39+AT39+AW39+AZ39+BC39</f>
        <v>61.45175749880093</v>
      </c>
      <c r="AF39" s="12">
        <v>0.9</v>
      </c>
      <c r="AG39" s="12">
        <f t="shared" ref="AG39:AG70" si="32">SQRT(AF39)</f>
        <v>0.94868329805051377</v>
      </c>
      <c r="AH39" s="12">
        <f t="shared" ref="AH39:AH70" si="33">IF(AG39&gt;0,AG39/AG$6*1000, 0)</f>
        <v>25.403285652626696</v>
      </c>
      <c r="AI39" s="12"/>
      <c r="AJ39" s="12">
        <f t="shared" ref="AJ39:AJ70" si="34">SQRT(AI39)</f>
        <v>0</v>
      </c>
      <c r="AK39" s="12">
        <f t="shared" ref="AK39:AK70" si="35">IF(AJ39&gt;0,AJ39/AJ$6*1000, 0)</f>
        <v>0</v>
      </c>
      <c r="AL39" s="12"/>
      <c r="AM39" s="12">
        <f t="shared" ref="AM39:AM70" si="36">SQRT(AL39)</f>
        <v>0</v>
      </c>
      <c r="AN39" s="12">
        <f t="shared" ref="AN39:AN70" si="37">IF(AM39&gt;0,AM39/AM$6*1000, 0)</f>
        <v>0</v>
      </c>
      <c r="AO39" s="12"/>
      <c r="AP39" s="12">
        <f t="shared" ref="AP39:AP70" si="38">SQRT(AO39)</f>
        <v>0</v>
      </c>
      <c r="AQ39" s="12">
        <f t="shared" ref="AQ39:AQ70" si="39">IF(AP39&gt;0,AP39/AP$6*1000, 0)</f>
        <v>0</v>
      </c>
      <c r="AR39" s="12">
        <v>0.2</v>
      </c>
      <c r="AS39" s="12">
        <f t="shared" ref="AS39:AS70" si="40">SQRT(AR39)</f>
        <v>0.44721359549995793</v>
      </c>
      <c r="AT39" s="12">
        <f t="shared" ref="AT39:AT70" si="41">IF(AS39&gt;0,AS39/AS$6*1000, 0)</f>
        <v>24.88153984658754</v>
      </c>
      <c r="AU39" s="12"/>
      <c r="AV39" s="12"/>
      <c r="AW39" s="12"/>
      <c r="AX39" s="12"/>
      <c r="AY39" s="12"/>
      <c r="AZ39" s="12"/>
      <c r="BA39" s="24">
        <v>11</v>
      </c>
      <c r="BB39" s="12">
        <f t="shared" ref="BB39:BB70" si="42">SQRT(BA39)</f>
        <v>3.3166247903553998</v>
      </c>
      <c r="BC39" s="51">
        <f t="shared" ref="BC39:BC70" si="43">IF(BB39&gt;0,BB39/BB$6*1000, 0)</f>
        <v>11.166931999586691</v>
      </c>
      <c r="BD39" s="22">
        <v>0.2</v>
      </c>
      <c r="BE39" s="20">
        <f t="shared" ref="BE39:BE70" si="44">SQRT(BD39)</f>
        <v>0.44721359549995793</v>
      </c>
      <c r="BF39" s="12">
        <f t="shared" ref="BF39:BF70" si="45">IF(BE39&gt;0, BE39/BE$6*10000, 0)</f>
        <v>132.60088914585396</v>
      </c>
      <c r="BG39" s="12"/>
      <c r="BH39" s="12"/>
      <c r="BI39" s="12"/>
      <c r="BJ39" s="24"/>
      <c r="BK39" s="24"/>
      <c r="BL39" s="24">
        <v>5</v>
      </c>
      <c r="BM39" s="12">
        <f t="shared" ref="BM39:BM70" si="46">IF(BL39&gt;0, BL39/BL$6*2000, 0)</f>
        <v>16.556291390728479</v>
      </c>
      <c r="BN39" s="45">
        <f t="shared" ref="BN39:BN70" si="47">BO39+BP39</f>
        <v>0</v>
      </c>
      <c r="BO39" s="27">
        <v>0</v>
      </c>
      <c r="BP39" s="27">
        <v>0</v>
      </c>
      <c r="BQ39" s="27"/>
      <c r="BR39" s="27"/>
      <c r="BS39" s="27"/>
      <c r="BT39" s="3"/>
      <c r="BU39" s="1"/>
      <c r="BV39" s="1"/>
      <c r="BW39" s="1"/>
    </row>
    <row r="40" spans="1:75" s="6" customFormat="1" ht="20.100000000000001" customHeight="1" x14ac:dyDescent="0.25">
      <c r="A40" s="1"/>
      <c r="B40" s="1">
        <v>41</v>
      </c>
      <c r="C40" s="44">
        <v>34</v>
      </c>
      <c r="D40" s="1" t="str">
        <f t="shared" si="28"/>
        <v>▲7</v>
      </c>
      <c r="E40" s="2" t="s">
        <v>52</v>
      </c>
      <c r="F40" s="47">
        <f t="shared" si="29"/>
        <v>549.33244257958052</v>
      </c>
      <c r="G40" s="15">
        <f>IF(COUNTIF(H40:INDEX(H40:N40,$B$1),"&gt;0")=0,0,
(SUMIF(H40:INDEX(H40:N40,$B$1),"&gt;0",H40:INDEX(H40:N40,$B$1))*$B$1/COUNTIF(H40:INDEX(H40:N40,$B$1),"&gt;0"))*
IF($B$1-COUNTIF(H40:INDEX(H40:N40,$B$1),"&gt;0")&lt;=2,1,
IF($B$1-COUNTIF(H40:INDEX(H40:N40,$B$1),"&gt;0")=3,0.8,
IF($B$1-COUNTIF(H40:INDEX(H40:N40,$B$1),"&gt;0")=4,0.6,0))))</f>
        <v>337</v>
      </c>
      <c r="H40" s="3">
        <v>67</v>
      </c>
      <c r="I40" s="3">
        <v>53</v>
      </c>
      <c r="J40" s="3">
        <v>54</v>
      </c>
      <c r="K40" s="3">
        <v>28</v>
      </c>
      <c r="L40" s="3">
        <v>47</v>
      </c>
      <c r="M40" s="3">
        <v>88</v>
      </c>
      <c r="N40" s="3"/>
      <c r="O40" s="12">
        <f>0.2*IF(COUNTIF(P40:INDEX(P40:V40,$B$1),"&gt;0")=0,0,
(SUMIF(P40:INDEX(P40:V40,$B$1),"&gt;0",P40:INDEX(P40:V40,$B$1))*$B$1/COUNTIF(P40:INDEX(P40:V40,$B$1),"&gt;0"))*
IF($B$1-COUNTIF(P40:INDEX(P40:V40,$B$1),"&gt;0")&lt;=2,1,
IF($B$1-COUNTIF(P40:INDEX(P40:V40,$B$1),"&gt;0")=3,0.8,
IF($B$1-COUNTIF(P40:INDEX(P40:V40,$B$1),"&gt;0")=4,0.6,0))))</f>
        <v>44</v>
      </c>
      <c r="P40" s="3">
        <v>42</v>
      </c>
      <c r="Q40" s="3">
        <v>29</v>
      </c>
      <c r="R40" s="3">
        <v>39</v>
      </c>
      <c r="S40" s="3">
        <v>26</v>
      </c>
      <c r="T40" s="3">
        <v>40</v>
      </c>
      <c r="U40" s="3">
        <v>44</v>
      </c>
      <c r="V40" s="3"/>
      <c r="W40" s="3">
        <f t="shared" si="30"/>
        <v>20</v>
      </c>
      <c r="X40" s="3"/>
      <c r="Y40" s="3"/>
      <c r="Z40" s="3"/>
      <c r="AA40" s="3"/>
      <c r="AB40" s="3"/>
      <c r="AC40" s="3" t="s">
        <v>176</v>
      </c>
      <c r="AD40" s="3"/>
      <c r="AE40" s="50">
        <f t="shared" si="31"/>
        <v>54.534501852263915</v>
      </c>
      <c r="AF40" s="12"/>
      <c r="AG40" s="12">
        <f t="shared" si="32"/>
        <v>0</v>
      </c>
      <c r="AH40" s="12">
        <f t="shared" si="33"/>
        <v>0</v>
      </c>
      <c r="AI40" s="12">
        <v>1.4</v>
      </c>
      <c r="AJ40" s="12">
        <f t="shared" si="34"/>
        <v>1.1832159566199232</v>
      </c>
      <c r="AK40" s="12">
        <f t="shared" si="35"/>
        <v>34.998382345999957</v>
      </c>
      <c r="AL40" s="12">
        <v>0.1</v>
      </c>
      <c r="AM40" s="12">
        <f t="shared" si="36"/>
        <v>0.31622776601683794</v>
      </c>
      <c r="AN40" s="12">
        <f t="shared" si="37"/>
        <v>12.802206142256283</v>
      </c>
      <c r="AO40" s="12"/>
      <c r="AP40" s="12">
        <f t="shared" si="38"/>
        <v>0</v>
      </c>
      <c r="AQ40" s="12">
        <f t="shared" si="39"/>
        <v>0</v>
      </c>
      <c r="AR40" s="12"/>
      <c r="AS40" s="12">
        <f t="shared" si="40"/>
        <v>0</v>
      </c>
      <c r="AT40" s="12">
        <f t="shared" si="41"/>
        <v>0</v>
      </c>
      <c r="AU40" s="12"/>
      <c r="AV40" s="12"/>
      <c r="AW40" s="12"/>
      <c r="AX40" s="12"/>
      <c r="AY40" s="12"/>
      <c r="AZ40" s="12"/>
      <c r="BA40" s="24">
        <v>4</v>
      </c>
      <c r="BB40" s="12">
        <f t="shared" si="42"/>
        <v>2</v>
      </c>
      <c r="BC40" s="51">
        <f t="shared" si="43"/>
        <v>6.7339133640076758</v>
      </c>
      <c r="BD40" s="22">
        <v>0.08</v>
      </c>
      <c r="BE40" s="20">
        <f t="shared" si="44"/>
        <v>0.28284271247461901</v>
      </c>
      <c r="BF40" s="12">
        <f t="shared" si="45"/>
        <v>83.864165892879541</v>
      </c>
      <c r="BG40" s="12"/>
      <c r="BH40" s="12"/>
      <c r="BI40" s="12"/>
      <c r="BJ40" s="24"/>
      <c r="BK40" s="24"/>
      <c r="BL40" s="24">
        <v>3</v>
      </c>
      <c r="BM40" s="12">
        <f t="shared" si="46"/>
        <v>9.9337748344370862</v>
      </c>
      <c r="BN40" s="45">
        <f t="shared" si="47"/>
        <v>0</v>
      </c>
      <c r="BO40" s="27">
        <v>0</v>
      </c>
      <c r="BP40" s="27">
        <v>0</v>
      </c>
      <c r="BQ40" s="27"/>
      <c r="BR40" s="27"/>
      <c r="BS40" s="27"/>
      <c r="BT40" s="3"/>
      <c r="BU40" s="1"/>
      <c r="BV40" s="1"/>
      <c r="BW40" s="1"/>
    </row>
    <row r="41" spans="1:75" s="6" customFormat="1" ht="20.100000000000001" customHeight="1" x14ac:dyDescent="0.25">
      <c r="A41" s="1"/>
      <c r="B41" s="1">
        <v>43</v>
      </c>
      <c r="C41" s="44">
        <v>35</v>
      </c>
      <c r="D41" s="1" t="str">
        <f t="shared" si="28"/>
        <v>▲8</v>
      </c>
      <c r="E41" s="2" t="s">
        <v>51</v>
      </c>
      <c r="F41" s="47">
        <f t="shared" si="29"/>
        <v>545.9695861187339</v>
      </c>
      <c r="G41" s="15">
        <f>IF(COUNTIF(H41:INDEX(H41:N41,$B$1),"&gt;0")=0,0,
(SUMIF(H41:INDEX(H41:N41,$B$1),"&gt;0",H41:INDEX(H41:N41,$B$1))*$B$1/COUNTIF(H41:INDEX(H41:N41,$B$1),"&gt;0"))*
IF($B$1-COUNTIF(H41:INDEX(H41:N41,$B$1),"&gt;0")&lt;=2,1,
IF($B$1-COUNTIF(H41:INDEX(H41:N41,$B$1),"&gt;0")=3,0.8,
IF($B$1-COUNTIF(H41:INDEX(H41:N41,$B$1),"&gt;0")=4,0.6,0))))</f>
        <v>361</v>
      </c>
      <c r="H41" s="3">
        <v>41</v>
      </c>
      <c r="I41" s="3">
        <v>90</v>
      </c>
      <c r="J41" s="3">
        <v>52</v>
      </c>
      <c r="K41" s="3">
        <v>73</v>
      </c>
      <c r="L41" s="3">
        <v>34</v>
      </c>
      <c r="M41" s="3">
        <v>71</v>
      </c>
      <c r="N41" s="3"/>
      <c r="O41" s="12">
        <f>0.2*IF(COUNTIF(P41:INDEX(P41:V41,$B$1),"&gt;0")=0,0,
(SUMIF(P41:INDEX(P41:V41,$B$1),"&gt;0",P41:INDEX(P41:V41,$B$1))*$B$1/COUNTIF(P41:INDEX(P41:V41,$B$1),"&gt;0"))*
IF($B$1-COUNTIF(P41:INDEX(P41:V41,$B$1),"&gt;0")&lt;=2,1,
IF($B$1-COUNTIF(P41:INDEX(P41:V41,$B$1),"&gt;0")=3,0.8,
IF($B$1-COUNTIF(P41:INDEX(P41:V41,$B$1),"&gt;0")=4,0.6,0))))</f>
        <v>42</v>
      </c>
      <c r="P41" s="3">
        <v>14</v>
      </c>
      <c r="Q41" s="3">
        <v>29</v>
      </c>
      <c r="R41" s="3">
        <v>57</v>
      </c>
      <c r="S41" s="3">
        <v>47</v>
      </c>
      <c r="T41" s="3">
        <v>25</v>
      </c>
      <c r="U41" s="3">
        <v>38</v>
      </c>
      <c r="V41" s="3"/>
      <c r="W41" s="3">
        <f t="shared" si="30"/>
        <v>20</v>
      </c>
      <c r="X41" s="3"/>
      <c r="Y41" s="3"/>
      <c r="Z41" s="3"/>
      <c r="AA41" s="3"/>
      <c r="AB41" s="3"/>
      <c r="AC41" s="3" t="s">
        <v>176</v>
      </c>
      <c r="AD41" s="3"/>
      <c r="AE41" s="50">
        <f t="shared" si="31"/>
        <v>30.473538319433555</v>
      </c>
      <c r="AF41" s="12"/>
      <c r="AG41" s="12">
        <f t="shared" si="32"/>
        <v>0</v>
      </c>
      <c r="AH41" s="12">
        <f t="shared" si="33"/>
        <v>0</v>
      </c>
      <c r="AI41" s="12"/>
      <c r="AJ41" s="12">
        <f t="shared" si="34"/>
        <v>0</v>
      </c>
      <c r="AK41" s="12">
        <f t="shared" si="35"/>
        <v>0</v>
      </c>
      <c r="AL41" s="12"/>
      <c r="AM41" s="12">
        <f t="shared" si="36"/>
        <v>0</v>
      </c>
      <c r="AN41" s="12">
        <f t="shared" si="37"/>
        <v>0</v>
      </c>
      <c r="AO41" s="12"/>
      <c r="AP41" s="12">
        <f t="shared" si="38"/>
        <v>0</v>
      </c>
      <c r="AQ41" s="12">
        <f t="shared" si="39"/>
        <v>0</v>
      </c>
      <c r="AR41" s="12">
        <v>0.3</v>
      </c>
      <c r="AS41" s="12">
        <f t="shared" si="40"/>
        <v>0.54772255750516607</v>
      </c>
      <c r="AT41" s="12">
        <f t="shared" si="41"/>
        <v>30.473538319433555</v>
      </c>
      <c r="AU41" s="12"/>
      <c r="AV41" s="12"/>
      <c r="AW41" s="12"/>
      <c r="AX41" s="12"/>
      <c r="AY41" s="12"/>
      <c r="AZ41" s="12"/>
      <c r="BA41" s="24"/>
      <c r="BB41" s="12">
        <f t="shared" si="42"/>
        <v>0</v>
      </c>
      <c r="BC41" s="51">
        <f t="shared" si="43"/>
        <v>0</v>
      </c>
      <c r="BD41" s="22">
        <v>0.06</v>
      </c>
      <c r="BE41" s="20">
        <f t="shared" si="44"/>
        <v>0.2449489742783178</v>
      </c>
      <c r="BF41" s="12">
        <f t="shared" si="45"/>
        <v>72.628498130426152</v>
      </c>
      <c r="BG41" s="12"/>
      <c r="BH41" s="12"/>
      <c r="BI41" s="12"/>
      <c r="BJ41" s="24"/>
      <c r="BK41" s="24"/>
      <c r="BL41" s="24">
        <v>6</v>
      </c>
      <c r="BM41" s="12">
        <f t="shared" si="46"/>
        <v>19.867549668874172</v>
      </c>
      <c r="BN41" s="45">
        <f t="shared" si="47"/>
        <v>0</v>
      </c>
      <c r="BO41" s="27">
        <v>0</v>
      </c>
      <c r="BP41" s="27">
        <v>0</v>
      </c>
      <c r="BQ41" s="27"/>
      <c r="BR41" s="27"/>
      <c r="BS41" s="27"/>
      <c r="BT41" s="3"/>
      <c r="BU41" s="1"/>
      <c r="BV41" s="1"/>
      <c r="BW41" s="1"/>
    </row>
    <row r="42" spans="1:75" s="6" customFormat="1" ht="20.100000000000001" customHeight="1" x14ac:dyDescent="0.25">
      <c r="A42" s="1"/>
      <c r="B42" s="1">
        <v>38</v>
      </c>
      <c r="C42" s="44">
        <v>36</v>
      </c>
      <c r="D42" s="1" t="str">
        <f t="shared" si="28"/>
        <v>▲2</v>
      </c>
      <c r="E42" s="2" t="s">
        <v>53</v>
      </c>
      <c r="F42" s="47">
        <f t="shared" si="29"/>
        <v>538.01175510703911</v>
      </c>
      <c r="G42" s="15">
        <f>IF(COUNTIF(H42:INDEX(H42:N42,$B$1),"&gt;0")=0,0,
(SUMIF(H42:INDEX(H42:N42,$B$1),"&gt;0",H42:INDEX(H42:N42,$B$1))*$B$1/COUNTIF(H42:INDEX(H42:N42,$B$1),"&gt;0"))*
IF($B$1-COUNTIF(H42:INDEX(H42:N42,$B$1),"&gt;0")&lt;=2,1,
IF($B$1-COUNTIF(H42:INDEX(H42:N42,$B$1),"&gt;0")=3,0.8,
IF($B$1-COUNTIF(H42:INDEX(H42:N42,$B$1),"&gt;0")=4,0.6,0))))</f>
        <v>299</v>
      </c>
      <c r="H42" s="3">
        <v>57</v>
      </c>
      <c r="I42" s="3">
        <v>51</v>
      </c>
      <c r="J42" s="3">
        <v>57</v>
      </c>
      <c r="K42" s="3">
        <v>47</v>
      </c>
      <c r="L42" s="3">
        <v>45</v>
      </c>
      <c r="M42" s="3">
        <v>42</v>
      </c>
      <c r="N42" s="3"/>
      <c r="O42" s="12">
        <f>0.2*IF(COUNTIF(P42:INDEX(P42:V42,$B$1),"&gt;0")=0,0,
(SUMIF(P42:INDEX(P42:V42,$B$1),"&gt;0",P42:INDEX(P42:V42,$B$1))*$B$1/COUNTIF(P42:INDEX(P42:V42,$B$1),"&gt;0"))*
IF($B$1-COUNTIF(P42:INDEX(P42:V42,$B$1),"&gt;0")&lt;=2,1,
IF($B$1-COUNTIF(P42:INDEX(P42:V42,$B$1),"&gt;0")=3,0.8,
IF($B$1-COUNTIF(P42:INDEX(P42:V42,$B$1),"&gt;0")=4,0.6,0))))</f>
        <v>49.800000000000004</v>
      </c>
      <c r="P42" s="3">
        <v>40</v>
      </c>
      <c r="Q42" s="3">
        <v>39</v>
      </c>
      <c r="R42" s="3">
        <v>48</v>
      </c>
      <c r="S42" s="3">
        <v>44</v>
      </c>
      <c r="T42" s="3">
        <v>40</v>
      </c>
      <c r="U42" s="3">
        <v>38</v>
      </c>
      <c r="V42" s="3"/>
      <c r="W42" s="3">
        <f t="shared" si="30"/>
        <v>20</v>
      </c>
      <c r="X42" s="3"/>
      <c r="Y42" s="3"/>
      <c r="Z42" s="3"/>
      <c r="AA42" s="3"/>
      <c r="AB42" s="3"/>
      <c r="AC42" s="3" t="s">
        <v>176</v>
      </c>
      <c r="AD42" s="3"/>
      <c r="AE42" s="50">
        <f t="shared" si="31"/>
        <v>46.914382804427511</v>
      </c>
      <c r="AF42" s="12"/>
      <c r="AG42" s="12">
        <f t="shared" si="32"/>
        <v>0</v>
      </c>
      <c r="AH42" s="12">
        <f t="shared" si="33"/>
        <v>0</v>
      </c>
      <c r="AI42" s="12">
        <v>0.3</v>
      </c>
      <c r="AJ42" s="12">
        <f t="shared" si="34"/>
        <v>0.54772255750516607</v>
      </c>
      <c r="AK42" s="12">
        <f t="shared" si="35"/>
        <v>16.201102917725795</v>
      </c>
      <c r="AL42" s="12"/>
      <c r="AM42" s="12">
        <f t="shared" si="36"/>
        <v>0</v>
      </c>
      <c r="AN42" s="12">
        <f t="shared" si="37"/>
        <v>0</v>
      </c>
      <c r="AO42" s="12"/>
      <c r="AP42" s="12">
        <f t="shared" si="38"/>
        <v>0</v>
      </c>
      <c r="AQ42" s="12">
        <f t="shared" si="39"/>
        <v>0</v>
      </c>
      <c r="AR42" s="12">
        <v>0.2</v>
      </c>
      <c r="AS42" s="12">
        <f t="shared" si="40"/>
        <v>0.44721359549995793</v>
      </c>
      <c r="AT42" s="12">
        <f t="shared" si="41"/>
        <v>24.88153984658754</v>
      </c>
      <c r="AU42" s="12"/>
      <c r="AV42" s="12"/>
      <c r="AW42" s="12"/>
      <c r="AX42" s="12"/>
      <c r="AY42" s="12"/>
      <c r="AZ42" s="12"/>
      <c r="BA42" s="24">
        <v>3</v>
      </c>
      <c r="BB42" s="12">
        <f t="shared" si="42"/>
        <v>1.7320508075688772</v>
      </c>
      <c r="BC42" s="51">
        <f t="shared" si="43"/>
        <v>5.8317400401141741</v>
      </c>
      <c r="BD42" s="22">
        <v>0.06</v>
      </c>
      <c r="BE42" s="20">
        <f t="shared" si="44"/>
        <v>0.2449489742783178</v>
      </c>
      <c r="BF42" s="12">
        <f t="shared" si="45"/>
        <v>72.628498130426152</v>
      </c>
      <c r="BG42" s="12"/>
      <c r="BH42" s="12"/>
      <c r="BI42" s="12"/>
      <c r="BJ42" s="24"/>
      <c r="BK42" s="24"/>
      <c r="BL42" s="24">
        <v>15</v>
      </c>
      <c r="BM42" s="12">
        <f t="shared" si="46"/>
        <v>49.668874172185426</v>
      </c>
      <c r="BN42" s="45">
        <f t="shared" si="47"/>
        <v>0</v>
      </c>
      <c r="BO42" s="27">
        <v>0</v>
      </c>
      <c r="BP42" s="27">
        <v>0</v>
      </c>
      <c r="BQ42" s="27"/>
      <c r="BR42" s="27"/>
      <c r="BS42" s="27"/>
      <c r="BT42" s="3"/>
      <c r="BU42" s="1"/>
      <c r="BV42" s="1"/>
      <c r="BW42" s="1"/>
    </row>
    <row r="43" spans="1:75" s="6" customFormat="1" ht="20.100000000000001" customHeight="1" x14ac:dyDescent="0.25">
      <c r="A43" s="1"/>
      <c r="B43" s="1">
        <v>46</v>
      </c>
      <c r="C43" s="44">
        <v>37</v>
      </c>
      <c r="D43" s="1" t="str">
        <f t="shared" si="28"/>
        <v>▲9</v>
      </c>
      <c r="E43" s="2" t="s">
        <v>49</v>
      </c>
      <c r="F43" s="47">
        <f t="shared" si="29"/>
        <v>519.7622729648632</v>
      </c>
      <c r="G43" s="15">
        <f>IF(COUNTIF(H43:INDEX(H43:N43,$B$1),"&gt;0")=0,0,
(SUMIF(H43:INDEX(H43:N43,$B$1),"&gt;0",H43:INDEX(H43:N43,$B$1))*$B$1/COUNTIF(H43:INDEX(H43:N43,$B$1),"&gt;0"))*
IF($B$1-COUNTIF(H43:INDEX(H43:N43,$B$1),"&gt;0")&lt;=2,1,
IF($B$1-COUNTIF(H43:INDEX(H43:N43,$B$1),"&gt;0")=3,0.8,
IF($B$1-COUNTIF(H43:INDEX(H43:N43,$B$1),"&gt;0")=4,0.6,0))))</f>
        <v>344</v>
      </c>
      <c r="H43" s="3">
        <v>50</v>
      </c>
      <c r="I43" s="3">
        <v>55</v>
      </c>
      <c r="J43" s="3">
        <v>54</v>
      </c>
      <c r="K43" s="3">
        <v>71</v>
      </c>
      <c r="L43" s="3">
        <v>30</v>
      </c>
      <c r="M43" s="3">
        <v>84</v>
      </c>
      <c r="N43" s="3"/>
      <c r="O43" s="12">
        <f>0.2*IF(COUNTIF(P43:INDEX(P43:V43,$B$1),"&gt;0")=0,0,
(SUMIF(P43:INDEX(P43:V43,$B$1),"&gt;0",P43:INDEX(P43:V43,$B$1))*$B$1/COUNTIF(P43:INDEX(P43:V43,$B$1),"&gt;0"))*
IF($B$1-COUNTIF(P43:INDEX(P43:V43,$B$1),"&gt;0")&lt;=2,1,
IF($B$1-COUNTIF(P43:INDEX(P43:V43,$B$1),"&gt;0")=3,0.8,
IF($B$1-COUNTIF(P43:INDEX(P43:V43,$B$1),"&gt;0")=4,0.6,0))))</f>
        <v>53.2</v>
      </c>
      <c r="P43" s="3">
        <v>46</v>
      </c>
      <c r="Q43" s="3">
        <v>37</v>
      </c>
      <c r="R43" s="3">
        <v>50</v>
      </c>
      <c r="S43" s="3">
        <v>47</v>
      </c>
      <c r="T43" s="3">
        <v>45</v>
      </c>
      <c r="U43" s="3">
        <v>41</v>
      </c>
      <c r="V43" s="3"/>
      <c r="W43" s="3">
        <f t="shared" si="30"/>
        <v>40</v>
      </c>
      <c r="X43" s="3" t="s">
        <v>17</v>
      </c>
      <c r="Y43" s="3"/>
      <c r="Z43" s="3"/>
      <c r="AA43" s="3"/>
      <c r="AB43" s="3"/>
      <c r="AC43" s="3" t="s">
        <v>176</v>
      </c>
      <c r="AD43" s="3"/>
      <c r="AE43" s="50">
        <f t="shared" si="31"/>
        <v>0</v>
      </c>
      <c r="AF43" s="12"/>
      <c r="AG43" s="12">
        <f t="shared" si="32"/>
        <v>0</v>
      </c>
      <c r="AH43" s="12">
        <f t="shared" si="33"/>
        <v>0</v>
      </c>
      <c r="AI43" s="12"/>
      <c r="AJ43" s="12">
        <f t="shared" si="34"/>
        <v>0</v>
      </c>
      <c r="AK43" s="12">
        <f t="shared" si="35"/>
        <v>0</v>
      </c>
      <c r="AL43" s="12"/>
      <c r="AM43" s="12">
        <f t="shared" si="36"/>
        <v>0</v>
      </c>
      <c r="AN43" s="12">
        <f t="shared" si="37"/>
        <v>0</v>
      </c>
      <c r="AO43" s="12"/>
      <c r="AP43" s="12">
        <f t="shared" si="38"/>
        <v>0</v>
      </c>
      <c r="AQ43" s="12">
        <f t="shared" si="39"/>
        <v>0</v>
      </c>
      <c r="AR43" s="12"/>
      <c r="AS43" s="12">
        <f t="shared" si="40"/>
        <v>0</v>
      </c>
      <c r="AT43" s="12">
        <f t="shared" si="41"/>
        <v>0</v>
      </c>
      <c r="AU43" s="12"/>
      <c r="AV43" s="12"/>
      <c r="AW43" s="12"/>
      <c r="AX43" s="12"/>
      <c r="AY43" s="12"/>
      <c r="AZ43" s="12"/>
      <c r="BA43" s="24"/>
      <c r="BB43" s="12">
        <f t="shared" si="42"/>
        <v>0</v>
      </c>
      <c r="BC43" s="51">
        <f t="shared" si="43"/>
        <v>0</v>
      </c>
      <c r="BD43" s="22">
        <v>0.06</v>
      </c>
      <c r="BE43" s="20">
        <f t="shared" si="44"/>
        <v>0.2449489742783178</v>
      </c>
      <c r="BF43" s="12">
        <f t="shared" si="45"/>
        <v>72.628498130426152</v>
      </c>
      <c r="BG43" s="12"/>
      <c r="BH43" s="12"/>
      <c r="BI43" s="12"/>
      <c r="BJ43" s="24"/>
      <c r="BK43" s="24"/>
      <c r="BL43" s="24">
        <v>3</v>
      </c>
      <c r="BM43" s="12">
        <f t="shared" si="46"/>
        <v>9.9337748344370862</v>
      </c>
      <c r="BN43" s="45">
        <f t="shared" si="47"/>
        <v>0</v>
      </c>
      <c r="BO43" s="27">
        <v>0</v>
      </c>
      <c r="BP43" s="27">
        <v>0</v>
      </c>
      <c r="BQ43" s="27"/>
      <c r="BR43" s="27"/>
      <c r="BS43" s="27"/>
      <c r="BT43" s="3"/>
      <c r="BU43" s="1"/>
      <c r="BV43" s="1"/>
      <c r="BW43" s="1"/>
    </row>
    <row r="44" spans="1:75" s="6" customFormat="1" ht="20.100000000000001" customHeight="1" x14ac:dyDescent="0.25">
      <c r="A44" s="1"/>
      <c r="B44" s="1">
        <v>37</v>
      </c>
      <c r="C44" s="44">
        <v>38</v>
      </c>
      <c r="D44" s="1" t="str">
        <f t="shared" si="28"/>
        <v>▼1</v>
      </c>
      <c r="E44" s="2" t="s">
        <v>44</v>
      </c>
      <c r="F44" s="47">
        <f t="shared" si="29"/>
        <v>513.77741965828693</v>
      </c>
      <c r="G44" s="15">
        <f>IF(COUNTIF(H44:INDEX(H44:N44,$B$1),"&gt;0")=0,0,
(SUMIF(H44:INDEX(H44:N44,$B$1),"&gt;0",H44:INDEX(H44:N44,$B$1))*$B$1/COUNTIF(H44:INDEX(H44:N44,$B$1),"&gt;0"))*
IF($B$1-COUNTIF(H44:INDEX(H44:N44,$B$1),"&gt;0")&lt;=2,1,
IF($B$1-COUNTIF(H44:INDEX(H44:N44,$B$1),"&gt;0")=3,0.8,
IF($B$1-COUNTIF(H44:INDEX(H44:N44,$B$1),"&gt;0")=4,0.6,0))))</f>
        <v>262</v>
      </c>
      <c r="H44" s="3">
        <v>50</v>
      </c>
      <c r="I44" s="3">
        <v>61</v>
      </c>
      <c r="J44" s="3">
        <v>63</v>
      </c>
      <c r="K44" s="3">
        <v>29</v>
      </c>
      <c r="L44" s="3">
        <v>30</v>
      </c>
      <c r="M44" s="3">
        <v>29</v>
      </c>
      <c r="N44" s="3"/>
      <c r="O44" s="12">
        <f>0.2*IF(COUNTIF(P44:INDEX(P44:V44,$B$1),"&gt;0")=0,0,
(SUMIF(P44:INDEX(P44:V44,$B$1),"&gt;0",P44:INDEX(P44:V44,$B$1))*$B$1/COUNTIF(P44:INDEX(P44:V44,$B$1),"&gt;0"))*
IF($B$1-COUNTIF(P44:INDEX(P44:V44,$B$1),"&gt;0")&lt;=2,1,
IF($B$1-COUNTIF(P44:INDEX(P44:V44,$B$1),"&gt;0")=3,0.8,
IF($B$1-COUNTIF(P44:INDEX(P44:V44,$B$1),"&gt;0")=4,0.6,0))))</f>
        <v>46.400000000000006</v>
      </c>
      <c r="P44" s="3">
        <v>52</v>
      </c>
      <c r="Q44" s="3">
        <v>41</v>
      </c>
      <c r="R44" s="3">
        <v>50</v>
      </c>
      <c r="S44" s="3">
        <v>39</v>
      </c>
      <c r="T44" s="3">
        <v>25</v>
      </c>
      <c r="U44" s="3">
        <v>25</v>
      </c>
      <c r="V44" s="3"/>
      <c r="W44" s="3">
        <f t="shared" si="30"/>
        <v>40</v>
      </c>
      <c r="X44" s="3" t="s">
        <v>17</v>
      </c>
      <c r="Y44" s="3"/>
      <c r="Z44" s="3"/>
      <c r="AA44" s="3"/>
      <c r="AB44" s="3"/>
      <c r="AC44" s="3" t="s">
        <v>176</v>
      </c>
      <c r="AD44" s="3"/>
      <c r="AE44" s="50">
        <f t="shared" si="31"/>
        <v>0</v>
      </c>
      <c r="AF44" s="12"/>
      <c r="AG44" s="12">
        <f t="shared" si="32"/>
        <v>0</v>
      </c>
      <c r="AH44" s="12">
        <f t="shared" si="33"/>
        <v>0</v>
      </c>
      <c r="AI44" s="12"/>
      <c r="AJ44" s="12">
        <f t="shared" si="34"/>
        <v>0</v>
      </c>
      <c r="AK44" s="12">
        <f t="shared" si="35"/>
        <v>0</v>
      </c>
      <c r="AL44" s="12"/>
      <c r="AM44" s="12">
        <f t="shared" si="36"/>
        <v>0</v>
      </c>
      <c r="AN44" s="12">
        <f t="shared" si="37"/>
        <v>0</v>
      </c>
      <c r="AO44" s="12"/>
      <c r="AP44" s="12">
        <f t="shared" si="38"/>
        <v>0</v>
      </c>
      <c r="AQ44" s="12">
        <f t="shared" si="39"/>
        <v>0</v>
      </c>
      <c r="AR44" s="12"/>
      <c r="AS44" s="12">
        <f t="shared" si="40"/>
        <v>0</v>
      </c>
      <c r="AT44" s="12">
        <f t="shared" si="41"/>
        <v>0</v>
      </c>
      <c r="AU44" s="12"/>
      <c r="AV44" s="12"/>
      <c r="AW44" s="12"/>
      <c r="AX44" s="12"/>
      <c r="AY44" s="12"/>
      <c r="AZ44" s="12"/>
      <c r="BA44" s="24"/>
      <c r="BB44" s="12">
        <f t="shared" si="42"/>
        <v>0</v>
      </c>
      <c r="BC44" s="51">
        <f t="shared" si="43"/>
        <v>0</v>
      </c>
      <c r="BD44" s="22">
        <v>0.23</v>
      </c>
      <c r="BE44" s="20">
        <f t="shared" si="44"/>
        <v>0.47958315233127197</v>
      </c>
      <c r="BF44" s="12">
        <f t="shared" si="45"/>
        <v>142.19861171126712</v>
      </c>
      <c r="BG44" s="12"/>
      <c r="BH44" s="12"/>
      <c r="BI44" s="12"/>
      <c r="BJ44" s="24"/>
      <c r="BK44" s="24"/>
      <c r="BL44" s="24">
        <v>7</v>
      </c>
      <c r="BM44" s="12">
        <f t="shared" si="46"/>
        <v>23.17880794701987</v>
      </c>
      <c r="BN44" s="45">
        <f t="shared" si="47"/>
        <v>0</v>
      </c>
      <c r="BO44" s="27">
        <v>0</v>
      </c>
      <c r="BP44" s="27">
        <v>0</v>
      </c>
      <c r="BQ44" s="27"/>
      <c r="BR44" s="27"/>
      <c r="BS44" s="27"/>
      <c r="BT44" s="3"/>
      <c r="BU44" s="1"/>
      <c r="BV44" s="1"/>
      <c r="BW44" s="1"/>
    </row>
    <row r="45" spans="1:75" s="6" customFormat="1" ht="20.100000000000001" customHeight="1" x14ac:dyDescent="0.25">
      <c r="A45" s="1"/>
      <c r="B45" s="1">
        <v>42</v>
      </c>
      <c r="C45" s="44">
        <v>39</v>
      </c>
      <c r="D45" s="1" t="str">
        <f t="shared" si="28"/>
        <v>▲3</v>
      </c>
      <c r="E45" s="2" t="s">
        <v>58</v>
      </c>
      <c r="F45" s="47">
        <f t="shared" si="29"/>
        <v>512.55444935918354</v>
      </c>
      <c r="G45" s="15">
        <f>IF(COUNTIF(H45:INDEX(H45:N45,$B$1),"&gt;0")=0,0,
(SUMIF(H45:INDEX(H45:N45,$B$1),"&gt;0",H45:INDEX(H45:N45,$B$1))*$B$1/COUNTIF(H45:INDEX(H45:N45,$B$1),"&gt;0"))*
IF($B$1-COUNTIF(H45:INDEX(H45:N45,$B$1),"&gt;0")&lt;=2,1,
IF($B$1-COUNTIF(H45:INDEX(H45:N45,$B$1),"&gt;0")=3,0.8,
IF($B$1-COUNTIF(H45:INDEX(H45:N45,$B$1),"&gt;0")=4,0.6,0))))</f>
        <v>271</v>
      </c>
      <c r="H45" s="3">
        <v>47</v>
      </c>
      <c r="I45" s="3">
        <v>50</v>
      </c>
      <c r="J45" s="3">
        <v>50</v>
      </c>
      <c r="K45" s="3">
        <v>43</v>
      </c>
      <c r="L45" s="3">
        <v>43</v>
      </c>
      <c r="M45" s="3">
        <v>38</v>
      </c>
      <c r="N45" s="3"/>
      <c r="O45" s="12">
        <f>0.2*IF(COUNTIF(P45:INDEX(P45:V45,$B$1),"&gt;0")=0,0,
(SUMIF(P45:INDEX(P45:V45,$B$1),"&gt;0",P45:INDEX(P45:V45,$B$1))*$B$1/COUNTIF(P45:INDEX(P45:V45,$B$1),"&gt;0"))*
IF($B$1-COUNTIF(P45:INDEX(P45:V45,$B$1),"&gt;0")&lt;=2,1,
IF($B$1-COUNTIF(P45:INDEX(P45:V45,$B$1),"&gt;0")=3,0.8,
IF($B$1-COUNTIF(P45:INDEX(P45:V45,$B$1),"&gt;0")=4,0.6,0))))</f>
        <v>52</v>
      </c>
      <c r="P45" s="3">
        <v>46</v>
      </c>
      <c r="Q45" s="3">
        <v>35</v>
      </c>
      <c r="R45" s="3">
        <v>43</v>
      </c>
      <c r="S45" s="3">
        <v>44</v>
      </c>
      <c r="T45" s="3">
        <v>44</v>
      </c>
      <c r="U45" s="3">
        <v>48</v>
      </c>
      <c r="V45" s="3"/>
      <c r="W45" s="3">
        <f t="shared" si="30"/>
        <v>20</v>
      </c>
      <c r="X45" s="3"/>
      <c r="Y45" s="3"/>
      <c r="Z45" s="3"/>
      <c r="AA45" s="3"/>
      <c r="AB45" s="3"/>
      <c r="AC45" s="3" t="s">
        <v>176</v>
      </c>
      <c r="AD45" s="3"/>
      <c r="AE45" s="50">
        <f t="shared" si="31"/>
        <v>24.88153984658754</v>
      </c>
      <c r="AF45" s="12"/>
      <c r="AG45" s="12">
        <f t="shared" si="32"/>
        <v>0</v>
      </c>
      <c r="AH45" s="12">
        <f t="shared" si="33"/>
        <v>0</v>
      </c>
      <c r="AI45" s="12"/>
      <c r="AJ45" s="12">
        <f t="shared" si="34"/>
        <v>0</v>
      </c>
      <c r="AK45" s="12">
        <f t="shared" si="35"/>
        <v>0</v>
      </c>
      <c r="AL45" s="12"/>
      <c r="AM45" s="12">
        <f t="shared" si="36"/>
        <v>0</v>
      </c>
      <c r="AN45" s="12">
        <f t="shared" si="37"/>
        <v>0</v>
      </c>
      <c r="AO45" s="12"/>
      <c r="AP45" s="12">
        <f t="shared" si="38"/>
        <v>0</v>
      </c>
      <c r="AQ45" s="12">
        <f t="shared" si="39"/>
        <v>0</v>
      </c>
      <c r="AR45" s="12">
        <v>0.2</v>
      </c>
      <c r="AS45" s="12">
        <f t="shared" si="40"/>
        <v>0.44721359549995793</v>
      </c>
      <c r="AT45" s="12">
        <f t="shared" si="41"/>
        <v>24.88153984658754</v>
      </c>
      <c r="AU45" s="12"/>
      <c r="AV45" s="12"/>
      <c r="AW45" s="12"/>
      <c r="AX45" s="12"/>
      <c r="AY45" s="12"/>
      <c r="AZ45" s="12"/>
      <c r="BA45" s="24"/>
      <c r="BB45" s="12">
        <f t="shared" si="42"/>
        <v>0</v>
      </c>
      <c r="BC45" s="51">
        <f t="shared" si="43"/>
        <v>0</v>
      </c>
      <c r="BD45" s="22">
        <v>7.0000000000000007E-2</v>
      </c>
      <c r="BE45" s="20">
        <f t="shared" si="44"/>
        <v>0.26457513110645908</v>
      </c>
      <c r="BF45" s="12">
        <f t="shared" si="45"/>
        <v>78.447743949682007</v>
      </c>
      <c r="BG45" s="12"/>
      <c r="BH45" s="12"/>
      <c r="BI45" s="12"/>
      <c r="BJ45" s="24"/>
      <c r="BK45" s="24"/>
      <c r="BL45" s="24">
        <v>20</v>
      </c>
      <c r="BM45" s="12">
        <f t="shared" si="46"/>
        <v>66.225165562913915</v>
      </c>
      <c r="BN45" s="45">
        <f t="shared" si="47"/>
        <v>0</v>
      </c>
      <c r="BO45" s="27">
        <v>0</v>
      </c>
      <c r="BP45" s="27">
        <v>0</v>
      </c>
      <c r="BQ45" s="27"/>
      <c r="BR45" s="27"/>
      <c r="BS45" s="27"/>
      <c r="BT45" s="3"/>
      <c r="BU45" s="1"/>
      <c r="BV45" s="1"/>
      <c r="BW45" s="1"/>
    </row>
    <row r="46" spans="1:75" s="6" customFormat="1" ht="20.100000000000001" customHeight="1" x14ac:dyDescent="0.25">
      <c r="A46" s="1"/>
      <c r="B46" s="1">
        <v>39</v>
      </c>
      <c r="C46" s="44">
        <v>40</v>
      </c>
      <c r="D46" s="1" t="str">
        <f t="shared" si="28"/>
        <v>▼1</v>
      </c>
      <c r="E46" s="2" t="s">
        <v>56</v>
      </c>
      <c r="F46" s="47">
        <f t="shared" si="29"/>
        <v>504.00737482405788</v>
      </c>
      <c r="G46" s="15">
        <f>IF(COUNTIF(H46:INDEX(H46:N46,$B$1),"&gt;0")=0,0,
(SUMIF(H46:INDEX(H46:N46,$B$1),"&gt;0",H46:INDEX(H46:N46,$B$1))*$B$1/COUNTIF(H46:INDEX(H46:N46,$B$1),"&gt;0"))*
IF($B$1-COUNTIF(H46:INDEX(H46:N46,$B$1),"&gt;0")&lt;=2,1,
IF($B$1-COUNTIF(H46:INDEX(H46:N46,$B$1),"&gt;0")=3,0.8,
IF($B$1-COUNTIF(H46:INDEX(H46:N46,$B$1),"&gt;0")=4,0.6,0))))</f>
        <v>281</v>
      </c>
      <c r="H46" s="3">
        <v>50</v>
      </c>
      <c r="I46" s="3">
        <v>53</v>
      </c>
      <c r="J46" s="3">
        <v>52</v>
      </c>
      <c r="K46" s="3">
        <v>44</v>
      </c>
      <c r="L46" s="3">
        <v>43</v>
      </c>
      <c r="M46" s="3">
        <v>39</v>
      </c>
      <c r="N46" s="3"/>
      <c r="O46" s="12">
        <f>0.2*IF(COUNTIF(P46:INDEX(P46:V46,$B$1),"&gt;0")=0,0,
(SUMIF(P46:INDEX(P46:V46,$B$1),"&gt;0",P46:INDEX(P46:V46,$B$1))*$B$1/COUNTIF(P46:INDEX(P46:V46,$B$1),"&gt;0"))*
IF($B$1-COUNTIF(P46:INDEX(P46:V46,$B$1),"&gt;0")&lt;=2,1,
IF($B$1-COUNTIF(P46:INDEX(P46:V46,$B$1),"&gt;0")=3,0.8,
IF($B$1-COUNTIF(P46:INDEX(P46:V46,$B$1),"&gt;0")=4,0.6,0))))</f>
        <v>54.800000000000004</v>
      </c>
      <c r="P46" s="3">
        <v>47</v>
      </c>
      <c r="Q46" s="3">
        <v>39</v>
      </c>
      <c r="R46" s="3">
        <v>45</v>
      </c>
      <c r="S46" s="3">
        <v>49</v>
      </c>
      <c r="T46" s="3">
        <v>48</v>
      </c>
      <c r="U46" s="3">
        <v>46</v>
      </c>
      <c r="V46" s="3"/>
      <c r="W46" s="3">
        <f t="shared" si="30"/>
        <v>20</v>
      </c>
      <c r="X46" s="3"/>
      <c r="Y46" s="3"/>
      <c r="Z46" s="3"/>
      <c r="AA46" s="3"/>
      <c r="AB46" s="3"/>
      <c r="AC46" s="3" t="s">
        <v>176</v>
      </c>
      <c r="AD46" s="3"/>
      <c r="AE46" s="50">
        <f t="shared" si="31"/>
        <v>9.3537111307178193</v>
      </c>
      <c r="AF46" s="12"/>
      <c r="AG46" s="12">
        <f t="shared" si="32"/>
        <v>0</v>
      </c>
      <c r="AH46" s="12">
        <f t="shared" si="33"/>
        <v>0</v>
      </c>
      <c r="AI46" s="12">
        <v>0.1</v>
      </c>
      <c r="AJ46" s="12">
        <f t="shared" si="34"/>
        <v>0.31622776601683794</v>
      </c>
      <c r="AK46" s="12">
        <f t="shared" si="35"/>
        <v>9.3537111307178193</v>
      </c>
      <c r="AL46" s="12"/>
      <c r="AM46" s="12">
        <f t="shared" si="36"/>
        <v>0</v>
      </c>
      <c r="AN46" s="12">
        <f t="shared" si="37"/>
        <v>0</v>
      </c>
      <c r="AO46" s="12"/>
      <c r="AP46" s="12">
        <f t="shared" si="38"/>
        <v>0</v>
      </c>
      <c r="AQ46" s="12">
        <f t="shared" si="39"/>
        <v>0</v>
      </c>
      <c r="AR46" s="12"/>
      <c r="AS46" s="12">
        <f t="shared" si="40"/>
        <v>0</v>
      </c>
      <c r="AT46" s="12">
        <f t="shared" si="41"/>
        <v>0</v>
      </c>
      <c r="AU46" s="12"/>
      <c r="AV46" s="12"/>
      <c r="AW46" s="12"/>
      <c r="AX46" s="12"/>
      <c r="AY46" s="12"/>
      <c r="AZ46" s="12"/>
      <c r="BA46" s="24"/>
      <c r="BB46" s="12">
        <f t="shared" si="42"/>
        <v>0</v>
      </c>
      <c r="BC46" s="51">
        <f t="shared" si="43"/>
        <v>0</v>
      </c>
      <c r="BD46" s="22">
        <v>0.06</v>
      </c>
      <c r="BE46" s="20">
        <f t="shared" si="44"/>
        <v>0.2449489742783178</v>
      </c>
      <c r="BF46" s="12">
        <f t="shared" si="45"/>
        <v>72.628498130426152</v>
      </c>
      <c r="BG46" s="12"/>
      <c r="BH46" s="12"/>
      <c r="BI46" s="12"/>
      <c r="BJ46" s="24"/>
      <c r="BK46" s="24"/>
      <c r="BL46" s="24">
        <v>20</v>
      </c>
      <c r="BM46" s="12">
        <f t="shared" si="46"/>
        <v>66.225165562913915</v>
      </c>
      <c r="BN46" s="45">
        <f t="shared" si="47"/>
        <v>0</v>
      </c>
      <c r="BO46" s="27">
        <v>0</v>
      </c>
      <c r="BP46" s="27">
        <v>0</v>
      </c>
      <c r="BQ46" s="27"/>
      <c r="BR46" s="27"/>
      <c r="BS46" s="27"/>
      <c r="BT46" s="3"/>
      <c r="BU46" s="1"/>
      <c r="BV46" s="1"/>
      <c r="BW46" s="1"/>
    </row>
    <row r="47" spans="1:75" s="6" customFormat="1" ht="20.100000000000001" customHeight="1" x14ac:dyDescent="0.25">
      <c r="A47" s="1"/>
      <c r="B47" s="1">
        <v>44</v>
      </c>
      <c r="C47" s="44">
        <v>41</v>
      </c>
      <c r="D47" s="1" t="str">
        <f t="shared" si="28"/>
        <v>▲3</v>
      </c>
      <c r="E47" s="2" t="s">
        <v>80</v>
      </c>
      <c r="F47" s="47">
        <f t="shared" si="29"/>
        <v>501.50240890216611</v>
      </c>
      <c r="G47" s="15">
        <f>IF(COUNTIF(H47:INDEX(H47:N47,$B$1),"&gt;0")=0,0,
(SUMIF(H47:INDEX(H47:N47,$B$1),"&gt;0",H47:INDEX(H47:N47,$B$1))*$B$1/COUNTIF(H47:INDEX(H47:N47,$B$1),"&gt;0"))*
IF($B$1-COUNTIF(H47:INDEX(H47:N47,$B$1),"&gt;0")&lt;=2,1,
IF($B$1-COUNTIF(H47:INDEX(H47:N47,$B$1),"&gt;0")=3,0.8,
IF($B$1-COUNTIF(H47:INDEX(H47:N47,$B$1),"&gt;0")=4,0.6,0))))</f>
        <v>168</v>
      </c>
      <c r="H47" s="3">
        <v>19</v>
      </c>
      <c r="I47" s="3">
        <v>25</v>
      </c>
      <c r="J47" s="3">
        <v>33</v>
      </c>
      <c r="K47" s="3">
        <v>27</v>
      </c>
      <c r="L47" s="3">
        <v>30</v>
      </c>
      <c r="M47" s="3">
        <v>34</v>
      </c>
      <c r="N47" s="3"/>
      <c r="O47" s="12">
        <f>0.2*IF(COUNTIF(P47:INDEX(P47:V47,$B$1),"&gt;0")=0,0,
(SUMIF(P47:INDEX(P47:V47,$B$1),"&gt;0",P47:INDEX(P47:V47,$B$1))*$B$1/COUNTIF(P47:INDEX(P47:V47,$B$1),"&gt;0"))*
IF($B$1-COUNTIF(P47:INDEX(P47:V47,$B$1),"&gt;0")&lt;=2,1,
IF($B$1-COUNTIF(P47:INDEX(P47:V47,$B$1),"&gt;0")=3,0.8,
IF($B$1-COUNTIF(P47:INDEX(P47:V47,$B$1),"&gt;0")=4,0.6,0))))</f>
        <v>53.2</v>
      </c>
      <c r="P47" s="3">
        <v>45</v>
      </c>
      <c r="Q47" s="3">
        <v>36</v>
      </c>
      <c r="R47" s="3">
        <v>38</v>
      </c>
      <c r="S47" s="3">
        <v>47</v>
      </c>
      <c r="T47" s="3">
        <v>49</v>
      </c>
      <c r="U47" s="3">
        <v>51</v>
      </c>
      <c r="V47" s="3"/>
      <c r="W47" s="3">
        <f t="shared" si="30"/>
        <v>20</v>
      </c>
      <c r="X47" s="3"/>
      <c r="Y47" s="3"/>
      <c r="Z47" s="3"/>
      <c r="AA47" s="3"/>
      <c r="AB47" s="3"/>
      <c r="AC47" s="3" t="s">
        <v>176</v>
      </c>
      <c r="AD47" s="3"/>
      <c r="AE47" s="50">
        <f t="shared" si="31"/>
        <v>111.73415436316812</v>
      </c>
      <c r="AF47" s="12"/>
      <c r="AG47" s="12">
        <f t="shared" si="32"/>
        <v>0</v>
      </c>
      <c r="AH47" s="12">
        <f t="shared" si="33"/>
        <v>0</v>
      </c>
      <c r="AI47" s="12">
        <v>0.6</v>
      </c>
      <c r="AJ47" s="12">
        <f t="shared" si="34"/>
        <v>0.7745966692414834</v>
      </c>
      <c r="AK47" s="12">
        <f t="shared" si="35"/>
        <v>22.911819471650141</v>
      </c>
      <c r="AL47" s="12">
        <v>1.4</v>
      </c>
      <c r="AM47" s="12">
        <f t="shared" si="36"/>
        <v>1.1832159566199232</v>
      </c>
      <c r="AN47" s="12">
        <f t="shared" si="37"/>
        <v>47.901469179175947</v>
      </c>
      <c r="AO47" s="12"/>
      <c r="AP47" s="12">
        <f t="shared" si="38"/>
        <v>0</v>
      </c>
      <c r="AQ47" s="12">
        <f t="shared" si="39"/>
        <v>0</v>
      </c>
      <c r="AR47" s="12">
        <v>0.1</v>
      </c>
      <c r="AS47" s="12">
        <f t="shared" si="40"/>
        <v>0.31622776601683794</v>
      </c>
      <c r="AT47" s="12">
        <f t="shared" si="41"/>
        <v>17.593905551885339</v>
      </c>
      <c r="AU47" s="12"/>
      <c r="AV47" s="12"/>
      <c r="AW47" s="12"/>
      <c r="AX47" s="12"/>
      <c r="AY47" s="12"/>
      <c r="AZ47" s="12"/>
      <c r="BA47" s="24">
        <v>48</v>
      </c>
      <c r="BB47" s="12">
        <f t="shared" si="42"/>
        <v>6.9282032302755088</v>
      </c>
      <c r="BC47" s="51">
        <f t="shared" si="43"/>
        <v>23.326960160456697</v>
      </c>
      <c r="BD47" s="22">
        <v>0.24</v>
      </c>
      <c r="BE47" s="20">
        <f t="shared" si="44"/>
        <v>0.4898979485566356</v>
      </c>
      <c r="BF47" s="12">
        <f t="shared" si="45"/>
        <v>145.2569962608523</v>
      </c>
      <c r="BG47" s="12"/>
      <c r="BH47" s="12"/>
      <c r="BI47" s="12"/>
      <c r="BJ47" s="24"/>
      <c r="BK47" s="24"/>
      <c r="BL47" s="24">
        <v>1</v>
      </c>
      <c r="BM47" s="12">
        <f t="shared" si="46"/>
        <v>3.3112582781456954</v>
      </c>
      <c r="BN47" s="45">
        <f t="shared" si="47"/>
        <v>0</v>
      </c>
      <c r="BO47" s="27">
        <v>0</v>
      </c>
      <c r="BP47" s="27">
        <v>0</v>
      </c>
      <c r="BQ47" s="27"/>
      <c r="BR47" s="27"/>
      <c r="BS47" s="27"/>
      <c r="BT47" s="3"/>
      <c r="BU47" s="1"/>
      <c r="BV47" s="1"/>
      <c r="BW47" s="1"/>
    </row>
    <row r="48" spans="1:75" s="6" customFormat="1" ht="20.100000000000001" customHeight="1" x14ac:dyDescent="0.25">
      <c r="A48" s="1"/>
      <c r="B48" s="1">
        <v>45</v>
      </c>
      <c r="C48" s="44">
        <v>42</v>
      </c>
      <c r="D48" s="1" t="str">
        <f t="shared" si="28"/>
        <v>▲3</v>
      </c>
      <c r="E48" s="2" t="s">
        <v>61</v>
      </c>
      <c r="F48" s="47">
        <f t="shared" si="29"/>
        <v>496.69412693421879</v>
      </c>
      <c r="G48" s="15">
        <f>IF(COUNTIF(H48:INDEX(H48:N48,$B$1),"&gt;0")=0,0,
(SUMIF(H48:INDEX(H48:N48,$B$1),"&gt;0",H48:INDEX(H48:N48,$B$1))*$B$1/COUNTIF(H48:INDEX(H48:N48,$B$1),"&gt;0"))*
IF($B$1-COUNTIF(H48:INDEX(H48:N48,$B$1),"&gt;0")&lt;=2,1,
IF($B$1-COUNTIF(H48:INDEX(H48:N48,$B$1),"&gt;0")=3,0.8,
IF($B$1-COUNTIF(H48:INDEX(H48:N48,$B$1),"&gt;0")=4,0.6,0))))</f>
        <v>299</v>
      </c>
      <c r="H48" s="3">
        <v>46</v>
      </c>
      <c r="I48" s="3">
        <v>46</v>
      </c>
      <c r="J48" s="3">
        <v>47</v>
      </c>
      <c r="K48" s="3">
        <v>57</v>
      </c>
      <c r="L48" s="3">
        <v>48</v>
      </c>
      <c r="M48" s="3">
        <v>55</v>
      </c>
      <c r="N48" s="3"/>
      <c r="O48" s="12">
        <f>0.2*IF(COUNTIF(P48:INDEX(P48:V48,$B$1),"&gt;0")=0,0,
(SUMIF(P48:INDEX(P48:V48,$B$1),"&gt;0",P48:INDEX(P48:V48,$B$1))*$B$1/COUNTIF(P48:INDEX(P48:V48,$B$1),"&gt;0"))*
IF($B$1-COUNTIF(P48:INDEX(P48:V48,$B$1),"&gt;0")&lt;=2,1,
IF($B$1-COUNTIF(P48:INDEX(P48:V48,$B$1),"&gt;0")=3,0.8,
IF($B$1-COUNTIF(P48:INDEX(P48:V48,$B$1),"&gt;0")=4,0.6,0))))</f>
        <v>50.2</v>
      </c>
      <c r="P48" s="3">
        <v>48</v>
      </c>
      <c r="Q48" s="3">
        <v>36</v>
      </c>
      <c r="R48" s="3">
        <v>41</v>
      </c>
      <c r="S48" s="3">
        <v>45</v>
      </c>
      <c r="T48" s="3">
        <v>44</v>
      </c>
      <c r="U48" s="3">
        <v>37</v>
      </c>
      <c r="V48" s="3"/>
      <c r="W48" s="3">
        <f t="shared" si="30"/>
        <v>20</v>
      </c>
      <c r="X48" s="3"/>
      <c r="Y48" s="3"/>
      <c r="Z48" s="3"/>
      <c r="AA48" s="3"/>
      <c r="AB48" s="3"/>
      <c r="AC48" s="3" t="s">
        <v>176</v>
      </c>
      <c r="AD48" s="3"/>
      <c r="AE48" s="50">
        <f t="shared" si="31"/>
        <v>34.703616136126314</v>
      </c>
      <c r="AF48" s="12"/>
      <c r="AG48" s="12">
        <f t="shared" si="32"/>
        <v>0</v>
      </c>
      <c r="AH48" s="12">
        <f t="shared" si="33"/>
        <v>0</v>
      </c>
      <c r="AI48" s="12">
        <v>0.8</v>
      </c>
      <c r="AJ48" s="12">
        <f t="shared" si="34"/>
        <v>0.89442719099991586</v>
      </c>
      <c r="AK48" s="12">
        <f t="shared" si="35"/>
        <v>26.456290279162634</v>
      </c>
      <c r="AL48" s="12"/>
      <c r="AM48" s="12">
        <f t="shared" si="36"/>
        <v>0</v>
      </c>
      <c r="AN48" s="12">
        <f t="shared" si="37"/>
        <v>0</v>
      </c>
      <c r="AO48" s="12"/>
      <c r="AP48" s="12">
        <f t="shared" si="38"/>
        <v>0</v>
      </c>
      <c r="AQ48" s="12">
        <f t="shared" si="39"/>
        <v>0</v>
      </c>
      <c r="AR48" s="12"/>
      <c r="AS48" s="12">
        <f t="shared" si="40"/>
        <v>0</v>
      </c>
      <c r="AT48" s="12">
        <f t="shared" si="41"/>
        <v>0</v>
      </c>
      <c r="AU48" s="12"/>
      <c r="AV48" s="12"/>
      <c r="AW48" s="12"/>
      <c r="AX48" s="12"/>
      <c r="AY48" s="12"/>
      <c r="AZ48" s="12"/>
      <c r="BA48" s="24">
        <v>6</v>
      </c>
      <c r="BB48" s="12">
        <f t="shared" si="42"/>
        <v>2.4494897427831779</v>
      </c>
      <c r="BC48" s="51">
        <f t="shared" si="43"/>
        <v>8.2473258569636823</v>
      </c>
      <c r="BD48" s="22">
        <v>0.05</v>
      </c>
      <c r="BE48" s="20">
        <f t="shared" si="44"/>
        <v>0.22360679774997896</v>
      </c>
      <c r="BF48" s="12">
        <f t="shared" si="45"/>
        <v>66.300444572926978</v>
      </c>
      <c r="BG48" s="12"/>
      <c r="BH48" s="12"/>
      <c r="BI48" s="12"/>
      <c r="BJ48" s="24"/>
      <c r="BK48" s="24"/>
      <c r="BL48" s="24">
        <v>8</v>
      </c>
      <c r="BM48" s="12">
        <f t="shared" si="46"/>
        <v>26.490066225165563</v>
      </c>
      <c r="BN48" s="45">
        <f t="shared" si="47"/>
        <v>0</v>
      </c>
      <c r="BO48" s="27">
        <v>0</v>
      </c>
      <c r="BP48" s="27">
        <v>0</v>
      </c>
      <c r="BQ48" s="27"/>
      <c r="BR48" s="27"/>
      <c r="BS48" s="27"/>
      <c r="BT48" s="3"/>
      <c r="BU48" s="1"/>
      <c r="BV48" s="1"/>
      <c r="BW48" s="1"/>
    </row>
    <row r="49" spans="1:75" s="6" customFormat="1" ht="20.100000000000001" customHeight="1" x14ac:dyDescent="0.25">
      <c r="A49" s="1"/>
      <c r="B49" s="1">
        <v>48</v>
      </c>
      <c r="C49" s="44">
        <v>43</v>
      </c>
      <c r="D49" s="1" t="str">
        <f t="shared" si="28"/>
        <v>▲5</v>
      </c>
      <c r="E49" s="2" t="s">
        <v>57</v>
      </c>
      <c r="F49" s="47">
        <f t="shared" si="29"/>
        <v>480.66713173342458</v>
      </c>
      <c r="G49" s="15">
        <f>IF(COUNTIF(H49:INDEX(H49:N49,$B$1),"&gt;0")=0,0,
(SUMIF(H49:INDEX(H49:N49,$B$1),"&gt;0",H49:INDEX(H49:N49,$B$1))*$B$1/COUNTIF(H49:INDEX(H49:N49,$B$1),"&gt;0"))*
IF($B$1-COUNTIF(H49:INDEX(H49:N49,$B$1),"&gt;0")&lt;=2,1,
IF($B$1-COUNTIF(H49:INDEX(H49:N49,$B$1),"&gt;0")=3,0.8,
IF($B$1-COUNTIF(H49:INDEX(H49:N49,$B$1),"&gt;0")=4,0.6,0))))</f>
        <v>268</v>
      </c>
      <c r="H49" s="3">
        <v>47</v>
      </c>
      <c r="I49" s="3">
        <v>50</v>
      </c>
      <c r="J49" s="3">
        <v>48</v>
      </c>
      <c r="K49" s="3">
        <v>44</v>
      </c>
      <c r="L49" s="3">
        <v>38</v>
      </c>
      <c r="M49" s="3">
        <v>41</v>
      </c>
      <c r="N49" s="3"/>
      <c r="O49" s="12">
        <f>0.2*IF(COUNTIF(P49:INDEX(P49:V49,$B$1),"&gt;0")=0,0,
(SUMIF(P49:INDEX(P49:V49,$B$1),"&gt;0",P49:INDEX(P49:V49,$B$1))*$B$1/COUNTIF(P49:INDEX(P49:V49,$B$1),"&gt;0"))*
IF($B$1-COUNTIF(P49:INDEX(P49:V49,$B$1),"&gt;0")&lt;=2,1,
IF($B$1-COUNTIF(P49:INDEX(P49:V49,$B$1),"&gt;0")=3,0.8,
IF($B$1-COUNTIF(P49:INDEX(P49:V49,$B$1),"&gt;0")=4,0.6,0))))</f>
        <v>46.800000000000004</v>
      </c>
      <c r="P49" s="3">
        <v>44</v>
      </c>
      <c r="Q49" s="3">
        <v>34</v>
      </c>
      <c r="R49" s="3">
        <v>42</v>
      </c>
      <c r="S49" s="3">
        <v>45</v>
      </c>
      <c r="T49" s="3">
        <v>31</v>
      </c>
      <c r="U49" s="3">
        <v>38</v>
      </c>
      <c r="V49" s="3"/>
      <c r="W49" s="3">
        <f t="shared" si="30"/>
        <v>40</v>
      </c>
      <c r="X49" s="3"/>
      <c r="Y49" s="3"/>
      <c r="Z49" s="3" t="s">
        <v>33</v>
      </c>
      <c r="AA49" s="3" t="s">
        <v>124</v>
      </c>
      <c r="AB49" s="3"/>
      <c r="AC49" s="3" t="s">
        <v>176</v>
      </c>
      <c r="AD49" s="3"/>
      <c r="AE49" s="50">
        <f t="shared" si="31"/>
        <v>17.593905551885339</v>
      </c>
      <c r="AF49" s="12"/>
      <c r="AG49" s="12">
        <f t="shared" si="32"/>
        <v>0</v>
      </c>
      <c r="AH49" s="12">
        <f t="shared" si="33"/>
        <v>0</v>
      </c>
      <c r="AI49" s="12"/>
      <c r="AJ49" s="12">
        <f t="shared" si="34"/>
        <v>0</v>
      </c>
      <c r="AK49" s="12">
        <f t="shared" si="35"/>
        <v>0</v>
      </c>
      <c r="AL49" s="12"/>
      <c r="AM49" s="12">
        <f t="shared" si="36"/>
        <v>0</v>
      </c>
      <c r="AN49" s="12">
        <f t="shared" si="37"/>
        <v>0</v>
      </c>
      <c r="AO49" s="12"/>
      <c r="AP49" s="12">
        <f t="shared" si="38"/>
        <v>0</v>
      </c>
      <c r="AQ49" s="12">
        <f t="shared" si="39"/>
        <v>0</v>
      </c>
      <c r="AR49" s="12">
        <v>0.1</v>
      </c>
      <c r="AS49" s="12">
        <f t="shared" si="40"/>
        <v>0.31622776601683794</v>
      </c>
      <c r="AT49" s="12">
        <f t="shared" si="41"/>
        <v>17.593905551885339</v>
      </c>
      <c r="AU49" s="12"/>
      <c r="AV49" s="12"/>
      <c r="AW49" s="12"/>
      <c r="AX49" s="12"/>
      <c r="AY49" s="12"/>
      <c r="AZ49" s="12"/>
      <c r="BA49" s="24"/>
      <c r="BB49" s="12">
        <f t="shared" si="42"/>
        <v>0</v>
      </c>
      <c r="BC49" s="51">
        <f t="shared" si="43"/>
        <v>0</v>
      </c>
      <c r="BD49" s="22">
        <v>0.11</v>
      </c>
      <c r="BE49" s="20">
        <f t="shared" si="44"/>
        <v>0.33166247903553997</v>
      </c>
      <c r="BF49" s="12">
        <f t="shared" si="45"/>
        <v>98.339451347102184</v>
      </c>
      <c r="BG49" s="12"/>
      <c r="BH49" s="12"/>
      <c r="BI49" s="12"/>
      <c r="BJ49" s="24"/>
      <c r="BK49" s="24"/>
      <c r="BL49" s="24">
        <v>3</v>
      </c>
      <c r="BM49" s="12">
        <f t="shared" si="46"/>
        <v>9.9337748344370862</v>
      </c>
      <c r="BN49" s="45">
        <f t="shared" si="47"/>
        <v>0</v>
      </c>
      <c r="BO49" s="27">
        <v>0</v>
      </c>
      <c r="BP49" s="27">
        <v>0</v>
      </c>
      <c r="BQ49" s="27"/>
      <c r="BR49" s="27"/>
      <c r="BS49" s="27"/>
      <c r="BT49" s="3"/>
      <c r="BU49" s="1"/>
      <c r="BV49" s="1"/>
      <c r="BW49" s="1"/>
    </row>
    <row r="50" spans="1:75" s="6" customFormat="1" ht="20.100000000000001" customHeight="1" x14ac:dyDescent="0.25">
      <c r="A50" s="1"/>
      <c r="B50" s="1">
        <v>50</v>
      </c>
      <c r="C50" s="44">
        <v>44</v>
      </c>
      <c r="D50" s="1" t="str">
        <f t="shared" si="28"/>
        <v>▲6</v>
      </c>
      <c r="E50" s="2" t="s">
        <v>67</v>
      </c>
      <c r="F50" s="47">
        <f t="shared" si="29"/>
        <v>463.00141890551379</v>
      </c>
      <c r="G50" s="15">
        <f>IF(COUNTIF(H50:INDEX(H50:N50,$B$1),"&gt;0")=0,0,
(SUMIF(H50:INDEX(H50:N50,$B$1),"&gt;0",H50:INDEX(H50:N50,$B$1))*$B$1/COUNTIF(H50:INDEX(H50:N50,$B$1),"&gt;0"))*
IF($B$1-COUNTIF(H50:INDEX(H50:N50,$B$1),"&gt;0")&lt;=2,1,
IF($B$1-COUNTIF(H50:INDEX(H50:N50,$B$1),"&gt;0")=3,0.8,
IF($B$1-COUNTIF(H50:INDEX(H50:N50,$B$1),"&gt;0")=4,0.6,0))))</f>
        <v>204</v>
      </c>
      <c r="H50" s="3">
        <v>31</v>
      </c>
      <c r="I50" s="3">
        <v>34</v>
      </c>
      <c r="J50" s="3">
        <v>33</v>
      </c>
      <c r="K50" s="3">
        <v>40</v>
      </c>
      <c r="L50" s="3">
        <v>29</v>
      </c>
      <c r="M50" s="3">
        <v>37</v>
      </c>
      <c r="N50" s="3"/>
      <c r="O50" s="12">
        <f>0.2*IF(COUNTIF(P50:INDEX(P50:V50,$B$1),"&gt;0")=0,0,
(SUMIF(P50:INDEX(P50:V50,$B$1),"&gt;0",P50:INDEX(P50:V50,$B$1))*$B$1/COUNTIF(P50:INDEX(P50:V50,$B$1),"&gt;0"))*
IF($B$1-COUNTIF(P50:INDEX(P50:V50,$B$1),"&gt;0")&lt;=2,1,
IF($B$1-COUNTIF(P50:INDEX(P50:V50,$B$1),"&gt;0")=3,0.8,
IF($B$1-COUNTIF(P50:INDEX(P50:V50,$B$1),"&gt;0")=4,0.6,0))))</f>
        <v>56.400000000000006</v>
      </c>
      <c r="P50" s="3">
        <v>47</v>
      </c>
      <c r="Q50" s="3">
        <v>39</v>
      </c>
      <c r="R50" s="3">
        <v>49</v>
      </c>
      <c r="S50" s="3">
        <v>53</v>
      </c>
      <c r="T50" s="3">
        <v>46</v>
      </c>
      <c r="U50" s="3">
        <v>48</v>
      </c>
      <c r="V50" s="3"/>
      <c r="W50" s="3">
        <f t="shared" si="30"/>
        <v>40</v>
      </c>
      <c r="X50" s="3"/>
      <c r="Y50" s="3" t="s">
        <v>30</v>
      </c>
      <c r="Z50" s="3" t="s">
        <v>30</v>
      </c>
      <c r="AA50" s="3"/>
      <c r="AB50" s="3"/>
      <c r="AC50" s="3" t="s">
        <v>176</v>
      </c>
      <c r="AD50" s="3"/>
      <c r="AE50" s="50">
        <f t="shared" si="31"/>
        <v>33.681530046610831</v>
      </c>
      <c r="AF50" s="12"/>
      <c r="AG50" s="12">
        <f t="shared" si="32"/>
        <v>0</v>
      </c>
      <c r="AH50" s="12">
        <f t="shared" si="33"/>
        <v>0</v>
      </c>
      <c r="AI50" s="12">
        <v>0.1</v>
      </c>
      <c r="AJ50" s="12">
        <f t="shared" si="34"/>
        <v>0.31622776601683794</v>
      </c>
      <c r="AK50" s="12">
        <f t="shared" si="35"/>
        <v>9.3537111307178193</v>
      </c>
      <c r="AL50" s="12"/>
      <c r="AM50" s="12">
        <f t="shared" si="36"/>
        <v>0</v>
      </c>
      <c r="AN50" s="12">
        <f t="shared" si="37"/>
        <v>0</v>
      </c>
      <c r="AO50" s="12"/>
      <c r="AP50" s="12">
        <f t="shared" si="38"/>
        <v>0</v>
      </c>
      <c r="AQ50" s="12">
        <f t="shared" si="39"/>
        <v>0</v>
      </c>
      <c r="AR50" s="12">
        <v>0.1</v>
      </c>
      <c r="AS50" s="12">
        <f t="shared" si="40"/>
        <v>0.31622776601683794</v>
      </c>
      <c r="AT50" s="12">
        <f t="shared" si="41"/>
        <v>17.593905551885339</v>
      </c>
      <c r="AU50" s="12"/>
      <c r="AV50" s="12"/>
      <c r="AW50" s="12"/>
      <c r="AX50" s="12"/>
      <c r="AY50" s="12"/>
      <c r="AZ50" s="12"/>
      <c r="BA50" s="24">
        <v>4</v>
      </c>
      <c r="BB50" s="12">
        <f t="shared" si="42"/>
        <v>2</v>
      </c>
      <c r="BC50" s="51">
        <f t="shared" si="43"/>
        <v>6.7339133640076758</v>
      </c>
      <c r="BD50" s="22">
        <v>0.06</v>
      </c>
      <c r="BE50" s="20">
        <f t="shared" si="44"/>
        <v>0.2449489742783178</v>
      </c>
      <c r="BF50" s="12">
        <f t="shared" si="45"/>
        <v>72.628498130426152</v>
      </c>
      <c r="BG50" s="12"/>
      <c r="BH50" s="12"/>
      <c r="BI50" s="12"/>
      <c r="BJ50" s="24"/>
      <c r="BK50" s="24"/>
      <c r="BL50" s="24">
        <v>17</v>
      </c>
      <c r="BM50" s="12">
        <f t="shared" si="46"/>
        <v>56.291390728476827</v>
      </c>
      <c r="BN50" s="45">
        <f t="shared" si="47"/>
        <v>0</v>
      </c>
      <c r="BO50" s="27">
        <v>0</v>
      </c>
      <c r="BP50" s="27">
        <v>0</v>
      </c>
      <c r="BQ50" s="27"/>
      <c r="BR50" s="27"/>
      <c r="BS50" s="27"/>
      <c r="BT50" s="3"/>
      <c r="BU50" s="1"/>
      <c r="BV50" s="1"/>
      <c r="BW50" s="1"/>
    </row>
    <row r="51" spans="1:75" s="6" customFormat="1" ht="20.100000000000001" customHeight="1" x14ac:dyDescent="0.25">
      <c r="A51" s="1"/>
      <c r="B51" s="1">
        <v>47</v>
      </c>
      <c r="C51" s="44">
        <v>45</v>
      </c>
      <c r="D51" s="1" t="str">
        <f t="shared" si="28"/>
        <v>▲2</v>
      </c>
      <c r="E51" s="2" t="s">
        <v>65</v>
      </c>
      <c r="F51" s="47">
        <f t="shared" si="29"/>
        <v>453.80825631363808</v>
      </c>
      <c r="G51" s="15">
        <f>IF(COUNTIF(H51:INDEX(H51:N51,$B$1),"&gt;0")=0,0,
(SUMIF(H51:INDEX(H51:N51,$B$1),"&gt;0",H51:INDEX(H51:N51,$B$1))*$B$1/COUNTIF(H51:INDEX(H51:N51,$B$1),"&gt;0"))*
IF($B$1-COUNTIF(H51:INDEX(H51:N51,$B$1),"&gt;0")&lt;=2,1,
IF($B$1-COUNTIF(H51:INDEX(H51:N51,$B$1),"&gt;0")=3,0.8,
IF($B$1-COUNTIF(H51:INDEX(H51:N51,$B$1),"&gt;0")=4,0.6,0))))</f>
        <v>199</v>
      </c>
      <c r="H51" s="3">
        <v>29</v>
      </c>
      <c r="I51" s="3">
        <v>46</v>
      </c>
      <c r="J51" s="3">
        <v>46</v>
      </c>
      <c r="K51" s="3">
        <v>18</v>
      </c>
      <c r="L51" s="3">
        <v>32</v>
      </c>
      <c r="M51" s="3">
        <v>28</v>
      </c>
      <c r="N51" s="3"/>
      <c r="O51" s="12">
        <f>0.2*IF(COUNTIF(P51:INDEX(P51:V51,$B$1),"&gt;0")=0,0,
(SUMIF(P51:INDEX(P51:V51,$B$1),"&gt;0",P51:INDEX(P51:V51,$B$1))*$B$1/COUNTIF(P51:INDEX(P51:V51,$B$1),"&gt;0"))*
IF($B$1-COUNTIF(P51:INDEX(P51:V51,$B$1),"&gt;0")&lt;=2,1,
IF($B$1-COUNTIF(P51:INDEX(P51:V51,$B$1),"&gt;0")=3,0.8,
IF($B$1-COUNTIF(P51:INDEX(P51:V51,$B$1),"&gt;0")=4,0.6,0))))</f>
        <v>53.400000000000006</v>
      </c>
      <c r="P51" s="3">
        <v>44</v>
      </c>
      <c r="Q51" s="3">
        <v>42</v>
      </c>
      <c r="R51" s="3">
        <v>47</v>
      </c>
      <c r="S51" s="3">
        <v>42</v>
      </c>
      <c r="T51" s="3">
        <v>48</v>
      </c>
      <c r="U51" s="3">
        <v>44</v>
      </c>
      <c r="V51" s="3"/>
      <c r="W51" s="3">
        <f t="shared" si="30"/>
        <v>20</v>
      </c>
      <c r="X51" s="3"/>
      <c r="Y51" s="3"/>
      <c r="Z51" s="3"/>
      <c r="AA51" s="3"/>
      <c r="AB51" s="3"/>
      <c r="AC51" s="3" t="s">
        <v>176</v>
      </c>
      <c r="AD51" s="3"/>
      <c r="AE51" s="50">
        <f t="shared" si="31"/>
        <v>26.777414238059102</v>
      </c>
      <c r="AF51" s="12">
        <v>1</v>
      </c>
      <c r="AG51" s="12">
        <f t="shared" si="32"/>
        <v>1</v>
      </c>
      <c r="AH51" s="12">
        <f t="shared" si="33"/>
        <v>26.777414238059102</v>
      </c>
      <c r="AI51" s="12"/>
      <c r="AJ51" s="12">
        <f t="shared" si="34"/>
        <v>0</v>
      </c>
      <c r="AK51" s="12">
        <f t="shared" si="35"/>
        <v>0</v>
      </c>
      <c r="AL51" s="12"/>
      <c r="AM51" s="12">
        <f t="shared" si="36"/>
        <v>0</v>
      </c>
      <c r="AN51" s="12">
        <f t="shared" si="37"/>
        <v>0</v>
      </c>
      <c r="AO51" s="12"/>
      <c r="AP51" s="12">
        <f t="shared" si="38"/>
        <v>0</v>
      </c>
      <c r="AQ51" s="12">
        <f t="shared" si="39"/>
        <v>0</v>
      </c>
      <c r="AR51" s="12"/>
      <c r="AS51" s="12">
        <f t="shared" si="40"/>
        <v>0</v>
      </c>
      <c r="AT51" s="12">
        <f t="shared" si="41"/>
        <v>0</v>
      </c>
      <c r="AU51" s="12"/>
      <c r="AV51" s="12"/>
      <c r="AW51" s="12"/>
      <c r="AX51" s="12"/>
      <c r="AY51" s="12"/>
      <c r="AZ51" s="12"/>
      <c r="BA51" s="24"/>
      <c r="BB51" s="12">
        <f t="shared" si="42"/>
        <v>0</v>
      </c>
      <c r="BC51" s="51">
        <f t="shared" si="43"/>
        <v>0</v>
      </c>
      <c r="BD51" s="22">
        <v>0.11</v>
      </c>
      <c r="BE51" s="20">
        <f t="shared" si="44"/>
        <v>0.33166247903553997</v>
      </c>
      <c r="BF51" s="12">
        <f t="shared" si="45"/>
        <v>98.339451347102184</v>
      </c>
      <c r="BG51" s="12"/>
      <c r="BH51" s="12"/>
      <c r="BI51" s="12"/>
      <c r="BJ51" s="24"/>
      <c r="BK51" s="24"/>
      <c r="BL51" s="24">
        <v>17</v>
      </c>
      <c r="BM51" s="12">
        <f t="shared" si="46"/>
        <v>56.291390728476827</v>
      </c>
      <c r="BN51" s="45">
        <f t="shared" si="47"/>
        <v>0</v>
      </c>
      <c r="BO51" s="27">
        <v>0</v>
      </c>
      <c r="BP51" s="27">
        <v>0</v>
      </c>
      <c r="BQ51" s="27"/>
      <c r="BR51" s="27"/>
      <c r="BS51" s="27"/>
      <c r="BT51" s="3"/>
      <c r="BU51" s="1"/>
      <c r="BV51" s="1"/>
      <c r="BW51" s="1"/>
    </row>
    <row r="52" spans="1:75" s="6" customFormat="1" ht="20.100000000000001" customHeight="1" x14ac:dyDescent="0.25">
      <c r="A52" s="1"/>
      <c r="B52" s="1">
        <v>49</v>
      </c>
      <c r="C52" s="44">
        <v>46</v>
      </c>
      <c r="D52" s="1" t="str">
        <f t="shared" si="28"/>
        <v>▲3</v>
      </c>
      <c r="E52" s="2" t="s">
        <v>63</v>
      </c>
      <c r="F52" s="47">
        <f t="shared" si="29"/>
        <v>446.46364890319808</v>
      </c>
      <c r="G52" s="15">
        <f>IF(COUNTIF(H52:INDEX(H52:N52,$B$1),"&gt;0")=0,0,
(SUMIF(H52:INDEX(H52:N52,$B$1),"&gt;0",H52:INDEX(H52:N52,$B$1))*$B$1/COUNTIF(H52:INDEX(H52:N52,$B$1),"&gt;0"))*
IF($B$1-COUNTIF(H52:INDEX(H52:N52,$B$1),"&gt;0")&lt;=2,1,
IF($B$1-COUNTIF(H52:INDEX(H52:N52,$B$1),"&gt;0")=3,0.8,
IF($B$1-COUNTIF(H52:INDEX(H52:N52,$B$1),"&gt;0")=4,0.6,0))))</f>
        <v>237</v>
      </c>
      <c r="H52" s="3">
        <v>42</v>
      </c>
      <c r="I52" s="3">
        <v>51</v>
      </c>
      <c r="J52" s="3">
        <v>38</v>
      </c>
      <c r="K52" s="3">
        <v>39</v>
      </c>
      <c r="L52" s="3">
        <v>28</v>
      </c>
      <c r="M52" s="3">
        <v>39</v>
      </c>
      <c r="N52" s="3"/>
      <c r="O52" s="12">
        <f>0.2*IF(COUNTIF(P52:INDEX(P52:V52,$B$1),"&gt;0")=0,0,
(SUMIF(P52:INDEX(P52:V52,$B$1),"&gt;0",P52:INDEX(P52:V52,$B$1))*$B$1/COUNTIF(P52:INDEX(P52:V52,$B$1),"&gt;0"))*
IF($B$1-COUNTIF(P52:INDEX(P52:V52,$B$1),"&gt;0")&lt;=2,1,
IF($B$1-COUNTIF(P52:INDEX(P52:V52,$B$1),"&gt;0")=3,0.8,
IF($B$1-COUNTIF(P52:INDEX(P52:V52,$B$1),"&gt;0")=4,0.6,0))))</f>
        <v>49.800000000000004</v>
      </c>
      <c r="P52" s="3">
        <v>39</v>
      </c>
      <c r="Q52" s="3">
        <v>42</v>
      </c>
      <c r="R52" s="3">
        <v>44</v>
      </c>
      <c r="S52" s="3">
        <v>42</v>
      </c>
      <c r="T52" s="3">
        <v>39</v>
      </c>
      <c r="U52" s="3">
        <v>43</v>
      </c>
      <c r="V52" s="3"/>
      <c r="W52" s="3">
        <f t="shared" si="30"/>
        <v>20</v>
      </c>
      <c r="X52" s="3"/>
      <c r="Y52" s="3"/>
      <c r="Z52" s="3"/>
      <c r="AA52" s="3"/>
      <c r="AB52" s="3"/>
      <c r="AC52" s="3" t="s">
        <v>176</v>
      </c>
      <c r="AD52" s="3"/>
      <c r="AE52" s="50">
        <f t="shared" si="31"/>
        <v>16.201102917725795</v>
      </c>
      <c r="AF52" s="12"/>
      <c r="AG52" s="12">
        <f t="shared" si="32"/>
        <v>0</v>
      </c>
      <c r="AH52" s="12">
        <f t="shared" si="33"/>
        <v>0</v>
      </c>
      <c r="AI52" s="12">
        <v>0.3</v>
      </c>
      <c r="AJ52" s="12">
        <f t="shared" si="34"/>
        <v>0.54772255750516607</v>
      </c>
      <c r="AK52" s="12">
        <f t="shared" si="35"/>
        <v>16.201102917725795</v>
      </c>
      <c r="AL52" s="12"/>
      <c r="AM52" s="12">
        <f t="shared" si="36"/>
        <v>0</v>
      </c>
      <c r="AN52" s="12">
        <f t="shared" si="37"/>
        <v>0</v>
      </c>
      <c r="AO52" s="12"/>
      <c r="AP52" s="12">
        <f t="shared" si="38"/>
        <v>0</v>
      </c>
      <c r="AQ52" s="12">
        <f t="shared" si="39"/>
        <v>0</v>
      </c>
      <c r="AR52" s="12"/>
      <c r="AS52" s="12">
        <f t="shared" si="40"/>
        <v>0</v>
      </c>
      <c r="AT52" s="12">
        <f t="shared" si="41"/>
        <v>0</v>
      </c>
      <c r="AU52" s="12"/>
      <c r="AV52" s="12"/>
      <c r="AW52" s="12"/>
      <c r="AX52" s="12"/>
      <c r="AY52" s="12"/>
      <c r="AZ52" s="12"/>
      <c r="BA52" s="24"/>
      <c r="BB52" s="12">
        <f t="shared" si="42"/>
        <v>0</v>
      </c>
      <c r="BC52" s="51">
        <f t="shared" si="43"/>
        <v>0</v>
      </c>
      <c r="BD52" s="22">
        <v>0.13</v>
      </c>
      <c r="BE52" s="20">
        <f t="shared" si="44"/>
        <v>0.36055512754639896</v>
      </c>
      <c r="BF52" s="12">
        <f t="shared" si="45"/>
        <v>106.90625459474383</v>
      </c>
      <c r="BG52" s="12"/>
      <c r="BH52" s="12"/>
      <c r="BI52" s="12"/>
      <c r="BJ52" s="24"/>
      <c r="BK52" s="24"/>
      <c r="BL52" s="24">
        <v>5</v>
      </c>
      <c r="BM52" s="12">
        <f t="shared" si="46"/>
        <v>16.556291390728479</v>
      </c>
      <c r="BN52" s="45">
        <f t="shared" si="47"/>
        <v>0</v>
      </c>
      <c r="BO52" s="27">
        <v>0</v>
      </c>
      <c r="BP52" s="27">
        <v>0</v>
      </c>
      <c r="BQ52" s="27"/>
      <c r="BR52" s="27"/>
      <c r="BS52" s="27"/>
      <c r="BT52" s="3"/>
      <c r="BU52" s="1"/>
      <c r="BV52" s="1"/>
      <c r="BW52" s="1"/>
    </row>
    <row r="53" spans="1:75" s="6" customFormat="1" ht="20.100000000000001" customHeight="1" x14ac:dyDescent="0.25">
      <c r="A53" s="1"/>
      <c r="B53" s="1">
        <v>52</v>
      </c>
      <c r="C53" s="44">
        <v>47</v>
      </c>
      <c r="D53" s="1" t="str">
        <f t="shared" si="28"/>
        <v>▲5</v>
      </c>
      <c r="E53" s="2" t="s">
        <v>72</v>
      </c>
      <c r="F53" s="47">
        <f t="shared" si="29"/>
        <v>442.08058722125497</v>
      </c>
      <c r="G53" s="15">
        <f>IF(COUNTIF(H53:INDEX(H53:N53,$B$1),"&gt;0")=0,0,
(SUMIF(H53:INDEX(H53:N53,$B$1),"&gt;0",H53:INDEX(H53:N53,$B$1))*$B$1/COUNTIF(H53:INDEX(H53:N53,$B$1),"&gt;0"))*
IF($B$1-COUNTIF(H53:INDEX(H53:N53,$B$1),"&gt;0")&lt;=2,1,
IF($B$1-COUNTIF(H53:INDEX(H53:N53,$B$1),"&gt;0")=3,0.8,
IF($B$1-COUNTIF(H53:INDEX(H53:N53,$B$1),"&gt;0")=4,0.6,0))))</f>
        <v>205</v>
      </c>
      <c r="H53" s="3">
        <v>27</v>
      </c>
      <c r="I53" s="3">
        <v>36</v>
      </c>
      <c r="J53" s="3">
        <v>44</v>
      </c>
      <c r="K53" s="3">
        <v>37</v>
      </c>
      <c r="L53" s="3">
        <v>33</v>
      </c>
      <c r="M53" s="3">
        <v>28</v>
      </c>
      <c r="N53" s="3"/>
      <c r="O53" s="12">
        <f>0.2*IF(COUNTIF(P53:INDEX(P53:V53,$B$1),"&gt;0")=0,0,
(SUMIF(P53:INDEX(P53:V53,$B$1),"&gt;0",P53:INDEX(P53:V53,$B$1))*$B$1/COUNTIF(P53:INDEX(P53:V53,$B$1),"&gt;0"))*
IF($B$1-COUNTIF(P53:INDEX(P53:V53,$B$1),"&gt;0")&lt;=2,1,
IF($B$1-COUNTIF(P53:INDEX(P53:V53,$B$1),"&gt;0")=3,0.8,
IF($B$1-COUNTIF(P53:INDEX(P53:V53,$B$1),"&gt;0")=4,0.6,0))))</f>
        <v>51.6</v>
      </c>
      <c r="P53" s="3">
        <v>42</v>
      </c>
      <c r="Q53" s="3">
        <v>38</v>
      </c>
      <c r="R53" s="3">
        <v>50</v>
      </c>
      <c r="S53" s="3">
        <v>47</v>
      </c>
      <c r="T53" s="3">
        <v>38</v>
      </c>
      <c r="U53" s="3">
        <v>43</v>
      </c>
      <c r="V53" s="3"/>
      <c r="W53" s="3">
        <f t="shared" si="30"/>
        <v>20</v>
      </c>
      <c r="X53" s="3"/>
      <c r="Y53" s="3"/>
      <c r="Z53" s="3"/>
      <c r="AA53" s="3"/>
      <c r="AB53" s="3"/>
      <c r="AC53" s="3" t="s">
        <v>176</v>
      </c>
      <c r="AD53" s="3"/>
      <c r="AE53" s="50">
        <f t="shared" si="31"/>
        <v>34.088557265812703</v>
      </c>
      <c r="AF53" s="12"/>
      <c r="AG53" s="12">
        <f t="shared" si="32"/>
        <v>0</v>
      </c>
      <c r="AH53" s="12">
        <f t="shared" si="33"/>
        <v>0</v>
      </c>
      <c r="AI53" s="12"/>
      <c r="AJ53" s="12">
        <f t="shared" si="34"/>
        <v>0</v>
      </c>
      <c r="AK53" s="12">
        <f t="shared" si="35"/>
        <v>0</v>
      </c>
      <c r="AL53" s="12"/>
      <c r="AM53" s="12">
        <f t="shared" si="36"/>
        <v>0</v>
      </c>
      <c r="AN53" s="12">
        <f t="shared" si="37"/>
        <v>0</v>
      </c>
      <c r="AO53" s="12"/>
      <c r="AP53" s="12">
        <f t="shared" si="38"/>
        <v>0</v>
      </c>
      <c r="AQ53" s="12">
        <f t="shared" si="39"/>
        <v>0</v>
      </c>
      <c r="AR53" s="12">
        <v>0.1</v>
      </c>
      <c r="AS53" s="12">
        <f t="shared" si="40"/>
        <v>0.31622776601683794</v>
      </c>
      <c r="AT53" s="12">
        <f t="shared" si="41"/>
        <v>17.593905551885339</v>
      </c>
      <c r="AU53" s="12"/>
      <c r="AV53" s="12"/>
      <c r="AW53" s="12"/>
      <c r="AX53" s="12"/>
      <c r="AY53" s="12"/>
      <c r="AZ53" s="12"/>
      <c r="BA53" s="24">
        <v>24</v>
      </c>
      <c r="BB53" s="12">
        <f t="shared" si="42"/>
        <v>4.8989794855663558</v>
      </c>
      <c r="BC53" s="51">
        <f t="shared" si="43"/>
        <v>16.494651713927365</v>
      </c>
      <c r="BD53" s="22">
        <v>0.15</v>
      </c>
      <c r="BE53" s="20">
        <f t="shared" si="44"/>
        <v>0.3872983346207417</v>
      </c>
      <c r="BF53" s="12">
        <f t="shared" si="45"/>
        <v>114.83573856471378</v>
      </c>
      <c r="BG53" s="12"/>
      <c r="BH53" s="12"/>
      <c r="BI53" s="12"/>
      <c r="BJ53" s="24"/>
      <c r="BK53" s="24"/>
      <c r="BL53" s="24">
        <v>5</v>
      </c>
      <c r="BM53" s="12">
        <f t="shared" si="46"/>
        <v>16.556291390728479</v>
      </c>
      <c r="BN53" s="45">
        <f t="shared" si="47"/>
        <v>0</v>
      </c>
      <c r="BO53" s="27">
        <v>0</v>
      </c>
      <c r="BP53" s="27">
        <v>0</v>
      </c>
      <c r="BQ53" s="27"/>
      <c r="BR53" s="27"/>
      <c r="BS53" s="27"/>
      <c r="BT53" s="3"/>
      <c r="BU53" s="1"/>
      <c r="BV53" s="1"/>
      <c r="BW53" s="1"/>
    </row>
    <row r="54" spans="1:75" s="6" customFormat="1" ht="20.100000000000001" customHeight="1" x14ac:dyDescent="0.25">
      <c r="A54" s="1"/>
      <c r="B54" s="1">
        <v>54</v>
      </c>
      <c r="C54" s="44">
        <v>48</v>
      </c>
      <c r="D54" s="1" t="str">
        <f t="shared" si="28"/>
        <v>▲6</v>
      </c>
      <c r="E54" s="2" t="s">
        <v>62</v>
      </c>
      <c r="F54" s="47">
        <f t="shared" si="29"/>
        <v>420.47714808841789</v>
      </c>
      <c r="G54" s="15">
        <f>IF(COUNTIF(H54:INDEX(H54:N54,$B$1),"&gt;0")=0,0,
(SUMIF(H54:INDEX(H54:N54,$B$1),"&gt;0",H54:INDEX(H54:N54,$B$1))*$B$1/COUNTIF(H54:INDEX(H54:N54,$B$1),"&gt;0"))*
IF($B$1-COUNTIF(H54:INDEX(H54:N54,$B$1),"&gt;0")&lt;=2,1,
IF($B$1-COUNTIF(H54:INDEX(H54:N54,$B$1),"&gt;0")=3,0.8,
IF($B$1-COUNTIF(H54:INDEX(H54:N54,$B$1),"&gt;0")=4,0.6,0))))</f>
        <v>273</v>
      </c>
      <c r="H54" s="3">
        <v>39</v>
      </c>
      <c r="I54" s="3">
        <v>53</v>
      </c>
      <c r="J54" s="3">
        <v>39</v>
      </c>
      <c r="K54" s="3">
        <v>48</v>
      </c>
      <c r="L54" s="3">
        <v>40</v>
      </c>
      <c r="M54" s="3">
        <v>54</v>
      </c>
      <c r="N54" s="3"/>
      <c r="O54" s="12">
        <f>0.2*IF(COUNTIF(P54:INDEX(P54:V54,$B$1),"&gt;0")=0,0,
(SUMIF(P54:INDEX(P54:V54,$B$1),"&gt;0",P54:INDEX(P54:V54,$B$1))*$B$1/COUNTIF(P54:INDEX(P54:V54,$B$1),"&gt;0"))*
IF($B$1-COUNTIF(P54:INDEX(P54:V54,$B$1),"&gt;0")&lt;=2,1,
IF($B$1-COUNTIF(P54:INDEX(P54:V54,$B$1),"&gt;0")=3,0.8,
IF($B$1-COUNTIF(P54:INDEX(P54:V54,$B$1),"&gt;0")=4,0.6,0))))</f>
        <v>52.2</v>
      </c>
      <c r="P54" s="3">
        <v>44</v>
      </c>
      <c r="Q54" s="3">
        <v>35</v>
      </c>
      <c r="R54" s="3">
        <v>47</v>
      </c>
      <c r="S54" s="3">
        <v>47</v>
      </c>
      <c r="T54" s="3">
        <v>42</v>
      </c>
      <c r="U54" s="3">
        <v>46</v>
      </c>
      <c r="V54" s="3"/>
      <c r="W54" s="3">
        <f t="shared" si="30"/>
        <v>20</v>
      </c>
      <c r="X54" s="3"/>
      <c r="Y54" s="3"/>
      <c r="Z54" s="3"/>
      <c r="AA54" s="3"/>
      <c r="AB54" s="3"/>
      <c r="AC54" s="3" t="s">
        <v>176</v>
      </c>
      <c r="AD54" s="3"/>
      <c r="AE54" s="50">
        <f t="shared" si="31"/>
        <v>9.3537111307178193</v>
      </c>
      <c r="AF54" s="12"/>
      <c r="AG54" s="12">
        <f t="shared" si="32"/>
        <v>0</v>
      </c>
      <c r="AH54" s="12">
        <f t="shared" si="33"/>
        <v>0</v>
      </c>
      <c r="AI54" s="12">
        <v>0.1</v>
      </c>
      <c r="AJ54" s="12">
        <f t="shared" si="34"/>
        <v>0.31622776601683794</v>
      </c>
      <c r="AK54" s="12">
        <f t="shared" si="35"/>
        <v>9.3537111307178193</v>
      </c>
      <c r="AL54" s="12"/>
      <c r="AM54" s="12">
        <f t="shared" si="36"/>
        <v>0</v>
      </c>
      <c r="AN54" s="12">
        <f t="shared" si="37"/>
        <v>0</v>
      </c>
      <c r="AO54" s="12"/>
      <c r="AP54" s="12">
        <f t="shared" si="38"/>
        <v>0</v>
      </c>
      <c r="AQ54" s="12">
        <f t="shared" si="39"/>
        <v>0</v>
      </c>
      <c r="AR54" s="12"/>
      <c r="AS54" s="12">
        <f t="shared" si="40"/>
        <v>0</v>
      </c>
      <c r="AT54" s="12">
        <f t="shared" si="41"/>
        <v>0</v>
      </c>
      <c r="AU54" s="12"/>
      <c r="AV54" s="12"/>
      <c r="AW54" s="12"/>
      <c r="AX54" s="12"/>
      <c r="AY54" s="12"/>
      <c r="AZ54" s="12"/>
      <c r="BA54" s="24"/>
      <c r="BB54" s="12">
        <f t="shared" si="42"/>
        <v>0</v>
      </c>
      <c r="BC54" s="51">
        <f t="shared" si="43"/>
        <v>0</v>
      </c>
      <c r="BD54" s="22">
        <v>0.04</v>
      </c>
      <c r="BE54" s="20">
        <f t="shared" si="44"/>
        <v>0.2</v>
      </c>
      <c r="BF54" s="12">
        <f t="shared" si="45"/>
        <v>59.300920401408703</v>
      </c>
      <c r="BG54" s="12"/>
      <c r="BH54" s="12"/>
      <c r="BI54" s="12"/>
      <c r="BJ54" s="24"/>
      <c r="BK54" s="24"/>
      <c r="BL54" s="24">
        <v>2</v>
      </c>
      <c r="BM54" s="12">
        <f t="shared" si="46"/>
        <v>6.6225165562913908</v>
      </c>
      <c r="BN54" s="45">
        <f t="shared" si="47"/>
        <v>0</v>
      </c>
      <c r="BO54" s="27">
        <v>0</v>
      </c>
      <c r="BP54" s="27">
        <v>0</v>
      </c>
      <c r="BQ54" s="27"/>
      <c r="BR54" s="27"/>
      <c r="BS54" s="27"/>
      <c r="BT54" s="3"/>
      <c r="BU54" s="1"/>
      <c r="BV54" s="1"/>
      <c r="BW54" s="1"/>
    </row>
    <row r="55" spans="1:75" s="6" customFormat="1" ht="20.100000000000001" customHeight="1" x14ac:dyDescent="0.25">
      <c r="A55" s="1"/>
      <c r="B55" s="1">
        <v>55</v>
      </c>
      <c r="C55" s="44">
        <v>49</v>
      </c>
      <c r="D55" s="1" t="str">
        <f t="shared" si="28"/>
        <v>▲6</v>
      </c>
      <c r="E55" s="2" t="s">
        <v>71</v>
      </c>
      <c r="F55" s="47">
        <f t="shared" si="29"/>
        <v>403.93067133736986</v>
      </c>
      <c r="G55" s="15">
        <f>IF(COUNTIF(H55:INDEX(H55:N55,$B$1),"&gt;0")=0,0,
(SUMIF(H55:INDEX(H55:N55,$B$1),"&gt;0",H55:INDEX(H55:N55,$B$1))*$B$1/COUNTIF(H55:INDEX(H55:N55,$B$1),"&gt;0"))*
IF($B$1-COUNTIF(H55:INDEX(H55:N55,$B$1),"&gt;0")&lt;=2,1,
IF($B$1-COUNTIF(H55:INDEX(H55:N55,$B$1),"&gt;0")=3,0.8,
IF($B$1-COUNTIF(H55:INDEX(H55:N55,$B$1),"&gt;0")=4,0.6,0))))</f>
        <v>152</v>
      </c>
      <c r="H55" s="3">
        <v>25</v>
      </c>
      <c r="I55" s="3">
        <v>22</v>
      </c>
      <c r="J55" s="3">
        <v>26</v>
      </c>
      <c r="K55" s="3">
        <v>25</v>
      </c>
      <c r="L55" s="3">
        <v>30</v>
      </c>
      <c r="M55" s="3">
        <v>24</v>
      </c>
      <c r="N55" s="3"/>
      <c r="O55" s="12">
        <f>0.2*IF(COUNTIF(P55:INDEX(P55:V55,$B$1),"&gt;0")=0,0,
(SUMIF(P55:INDEX(P55:V55,$B$1),"&gt;0",P55:INDEX(P55:V55,$B$1))*$B$1/COUNTIF(P55:INDEX(P55:V55,$B$1),"&gt;0"))*
IF($B$1-COUNTIF(P55:INDEX(P55:V55,$B$1),"&gt;0")&lt;=2,1,
IF($B$1-COUNTIF(P55:INDEX(P55:V55,$B$1),"&gt;0")=3,0.8,
IF($B$1-COUNTIF(P55:INDEX(P55:V55,$B$1),"&gt;0")=4,0.6,0))))</f>
        <v>55.400000000000006</v>
      </c>
      <c r="P55" s="3">
        <v>49</v>
      </c>
      <c r="Q55" s="3">
        <v>38</v>
      </c>
      <c r="R55" s="3">
        <v>47</v>
      </c>
      <c r="S55" s="3">
        <v>46</v>
      </c>
      <c r="T55" s="3">
        <v>48</v>
      </c>
      <c r="U55" s="3">
        <v>49</v>
      </c>
      <c r="V55" s="3"/>
      <c r="W55" s="3">
        <f t="shared" si="30"/>
        <v>70</v>
      </c>
      <c r="X55" s="3" t="s">
        <v>33</v>
      </c>
      <c r="Y55" s="3" t="s">
        <v>17</v>
      </c>
      <c r="Z55" s="3" t="s">
        <v>33</v>
      </c>
      <c r="AA55" s="3" t="s">
        <v>124</v>
      </c>
      <c r="AB55" s="3"/>
      <c r="AC55" s="3" t="s">
        <v>176</v>
      </c>
      <c r="AD55" s="3"/>
      <c r="AE55" s="50">
        <f t="shared" si="31"/>
        <v>30.723365259923838</v>
      </c>
      <c r="AF55" s="12"/>
      <c r="AG55" s="12">
        <f t="shared" si="32"/>
        <v>0</v>
      </c>
      <c r="AH55" s="12">
        <f t="shared" si="33"/>
        <v>0</v>
      </c>
      <c r="AI55" s="12">
        <v>0.2</v>
      </c>
      <c r="AJ55" s="12">
        <f t="shared" si="34"/>
        <v>0.44721359549995793</v>
      </c>
      <c r="AK55" s="12">
        <f t="shared" si="35"/>
        <v>13.228145139581317</v>
      </c>
      <c r="AL55" s="12"/>
      <c r="AM55" s="12">
        <f t="shared" si="36"/>
        <v>0</v>
      </c>
      <c r="AN55" s="12">
        <f t="shared" si="37"/>
        <v>0</v>
      </c>
      <c r="AO55" s="12"/>
      <c r="AP55" s="12">
        <f t="shared" si="38"/>
        <v>0</v>
      </c>
      <c r="AQ55" s="12">
        <f t="shared" si="39"/>
        <v>0</v>
      </c>
      <c r="AR55" s="12"/>
      <c r="AS55" s="12">
        <f t="shared" si="40"/>
        <v>0</v>
      </c>
      <c r="AT55" s="12">
        <f t="shared" si="41"/>
        <v>0</v>
      </c>
      <c r="AU55" s="12"/>
      <c r="AV55" s="12"/>
      <c r="AW55" s="12"/>
      <c r="AX55" s="12"/>
      <c r="AY55" s="12"/>
      <c r="AZ55" s="12"/>
      <c r="BA55" s="24">
        <v>27</v>
      </c>
      <c r="BB55" s="12">
        <f t="shared" si="42"/>
        <v>5.196152422706632</v>
      </c>
      <c r="BC55" s="51">
        <f t="shared" si="43"/>
        <v>17.495220120342523</v>
      </c>
      <c r="BD55" s="22">
        <v>0.06</v>
      </c>
      <c r="BE55" s="20">
        <f t="shared" si="44"/>
        <v>0.2449489742783178</v>
      </c>
      <c r="BF55" s="12">
        <f t="shared" si="45"/>
        <v>72.628498130426152</v>
      </c>
      <c r="BG55" s="12"/>
      <c r="BH55" s="12"/>
      <c r="BI55" s="12"/>
      <c r="BJ55" s="24"/>
      <c r="BK55" s="24"/>
      <c r="BL55" s="24">
        <v>7</v>
      </c>
      <c r="BM55" s="12">
        <f t="shared" si="46"/>
        <v>23.17880794701987</v>
      </c>
      <c r="BN55" s="45">
        <f t="shared" si="47"/>
        <v>0</v>
      </c>
      <c r="BO55" s="27">
        <v>0</v>
      </c>
      <c r="BP55" s="27">
        <v>0</v>
      </c>
      <c r="BQ55" s="27"/>
      <c r="BR55" s="27"/>
      <c r="BS55" s="27"/>
      <c r="BT55" s="3"/>
      <c r="BU55" s="1"/>
      <c r="BV55" s="1"/>
      <c r="BW55" s="1"/>
    </row>
    <row r="56" spans="1:75" s="6" customFormat="1" ht="20.100000000000001" customHeight="1" x14ac:dyDescent="0.25">
      <c r="A56" s="1"/>
      <c r="B56" s="1">
        <v>56</v>
      </c>
      <c r="C56" s="44">
        <v>50</v>
      </c>
      <c r="D56" s="1" t="str">
        <f t="shared" si="28"/>
        <v>▲6</v>
      </c>
      <c r="E56" s="2" t="s">
        <v>85</v>
      </c>
      <c r="F56" s="47">
        <f t="shared" si="29"/>
        <v>387.02721727333164</v>
      </c>
      <c r="G56" s="15">
        <f>IF(COUNTIF(H56:INDEX(H56:N56,$B$1),"&gt;0")=0,0,
(SUMIF(H56:INDEX(H56:N56,$B$1),"&gt;0",H56:INDEX(H56:N56,$B$1))*$B$1/COUNTIF(H56:INDEX(H56:N56,$B$1),"&gt;0"))*
IF($B$1-COUNTIF(H56:INDEX(H56:N56,$B$1),"&gt;0")&lt;=2,1,
IF($B$1-COUNTIF(H56:INDEX(H56:N56,$B$1),"&gt;0")=3,0.8,
IF($B$1-COUNTIF(H56:INDEX(H56:N56,$B$1),"&gt;0")=4,0.6,0))))</f>
        <v>140</v>
      </c>
      <c r="H56" s="3">
        <v>12</v>
      </c>
      <c r="I56" s="3">
        <v>36</v>
      </c>
      <c r="J56" s="3">
        <v>16</v>
      </c>
      <c r="K56" s="3">
        <v>18</v>
      </c>
      <c r="L56" s="3">
        <v>27</v>
      </c>
      <c r="M56" s="3">
        <v>31</v>
      </c>
      <c r="N56" s="3"/>
      <c r="O56" s="12">
        <f>0.2*IF(COUNTIF(P56:INDEX(P56:V56,$B$1),"&gt;0")=0,0,
(SUMIF(P56:INDEX(P56:V56,$B$1),"&gt;0",P56:INDEX(P56:V56,$B$1))*$B$1/COUNTIF(P56:INDEX(P56:V56,$B$1),"&gt;0"))*
IF($B$1-COUNTIF(P56:INDEX(P56:V56,$B$1),"&gt;0")&lt;=2,1,
IF($B$1-COUNTIF(P56:INDEX(P56:V56,$B$1),"&gt;0")=3,0.8,
IF($B$1-COUNTIF(P56:INDEX(P56:V56,$B$1),"&gt;0")=4,0.6,0))))</f>
        <v>45.2</v>
      </c>
      <c r="P56" s="3">
        <v>35</v>
      </c>
      <c r="Q56" s="3">
        <v>34</v>
      </c>
      <c r="R56" s="3">
        <v>38</v>
      </c>
      <c r="S56" s="3">
        <v>38</v>
      </c>
      <c r="T56" s="3">
        <v>43</v>
      </c>
      <c r="U56" s="3">
        <v>38</v>
      </c>
      <c r="V56" s="3"/>
      <c r="W56" s="3">
        <f t="shared" si="30"/>
        <v>20</v>
      </c>
      <c r="X56" s="3"/>
      <c r="Y56" s="3"/>
      <c r="Z56" s="3"/>
      <c r="AA56" s="3"/>
      <c r="AB56" s="3"/>
      <c r="AC56" s="3" t="s">
        <v>176</v>
      </c>
      <c r="AD56" s="3"/>
      <c r="AE56" s="50">
        <f t="shared" si="31"/>
        <v>16.201102917725795</v>
      </c>
      <c r="AF56" s="12"/>
      <c r="AG56" s="12">
        <f t="shared" si="32"/>
        <v>0</v>
      </c>
      <c r="AH56" s="12">
        <f t="shared" si="33"/>
        <v>0</v>
      </c>
      <c r="AI56" s="12">
        <v>0.3</v>
      </c>
      <c r="AJ56" s="12">
        <f t="shared" si="34"/>
        <v>0.54772255750516607</v>
      </c>
      <c r="AK56" s="12">
        <f t="shared" si="35"/>
        <v>16.201102917725795</v>
      </c>
      <c r="AL56" s="12"/>
      <c r="AM56" s="12">
        <f t="shared" si="36"/>
        <v>0</v>
      </c>
      <c r="AN56" s="12">
        <f t="shared" si="37"/>
        <v>0</v>
      </c>
      <c r="AO56" s="12"/>
      <c r="AP56" s="12">
        <f t="shared" si="38"/>
        <v>0</v>
      </c>
      <c r="AQ56" s="12">
        <f t="shared" si="39"/>
        <v>0</v>
      </c>
      <c r="AR56" s="12"/>
      <c r="AS56" s="12">
        <f t="shared" si="40"/>
        <v>0</v>
      </c>
      <c r="AT56" s="12">
        <f t="shared" si="41"/>
        <v>0</v>
      </c>
      <c r="AU56" s="12"/>
      <c r="AV56" s="12"/>
      <c r="AW56" s="12"/>
      <c r="AX56" s="12"/>
      <c r="AY56" s="12"/>
      <c r="AZ56" s="12"/>
      <c r="BA56" s="24"/>
      <c r="BB56" s="12">
        <f t="shared" si="42"/>
        <v>0</v>
      </c>
      <c r="BC56" s="51">
        <f t="shared" si="43"/>
        <v>0</v>
      </c>
      <c r="BD56" s="22">
        <v>0.12</v>
      </c>
      <c r="BE56" s="20">
        <f t="shared" si="44"/>
        <v>0.34641016151377546</v>
      </c>
      <c r="BF56" s="12">
        <f t="shared" si="45"/>
        <v>102.71220707083766</v>
      </c>
      <c r="BG56" s="12"/>
      <c r="BH56" s="12"/>
      <c r="BI56" s="12"/>
      <c r="BJ56" s="24"/>
      <c r="BK56" s="24"/>
      <c r="BL56" s="24">
        <v>19</v>
      </c>
      <c r="BM56" s="12">
        <f t="shared" si="46"/>
        <v>62.913907284768214</v>
      </c>
      <c r="BN56" s="45">
        <f t="shared" si="47"/>
        <v>0</v>
      </c>
      <c r="BO56" s="27">
        <v>0</v>
      </c>
      <c r="BP56" s="27">
        <v>0</v>
      </c>
      <c r="BQ56" s="27"/>
      <c r="BR56" s="27"/>
      <c r="BS56" s="27"/>
      <c r="BT56" s="3"/>
      <c r="BU56" s="1"/>
      <c r="BV56" s="1"/>
      <c r="BW56" s="1"/>
    </row>
    <row r="57" spans="1:75" s="6" customFormat="1" ht="20.100000000000001" customHeight="1" x14ac:dyDescent="0.25">
      <c r="A57" s="1"/>
      <c r="B57" s="1">
        <v>53</v>
      </c>
      <c r="C57" s="44">
        <v>51</v>
      </c>
      <c r="D57" s="1" t="str">
        <f t="shared" si="28"/>
        <v>▲2</v>
      </c>
      <c r="E57" s="2" t="s">
        <v>55</v>
      </c>
      <c r="F57" s="47">
        <f t="shared" si="29"/>
        <v>385.21046020070435</v>
      </c>
      <c r="G57" s="15">
        <f>IF(COUNTIF(H57:INDEX(H57:N57,$B$1),"&gt;0")=0,0,
(SUMIF(H57:INDEX(H57:N57,$B$1),"&gt;0",H57:INDEX(H57:N57,$B$1))*$B$1/COUNTIF(H57:INDEX(H57:N57,$B$1),"&gt;0"))*
IF($B$1-COUNTIF(H57:INDEX(H57:N57,$B$1),"&gt;0")&lt;=2,1,
IF($B$1-COUNTIF(H57:INDEX(H57:N57,$B$1),"&gt;0")=3,0.8,
IF($B$1-COUNTIF(H57:INDEX(H57:N57,$B$1),"&gt;0")=4,0.6,0))))</f>
        <v>289</v>
      </c>
      <c r="H57" s="3">
        <v>60</v>
      </c>
      <c r="I57" s="3">
        <v>43</v>
      </c>
      <c r="J57" s="3">
        <v>55</v>
      </c>
      <c r="K57" s="3">
        <v>56</v>
      </c>
      <c r="L57" s="3">
        <v>50</v>
      </c>
      <c r="M57" s="3">
        <v>25</v>
      </c>
      <c r="N57" s="3"/>
      <c r="O57" s="12">
        <f>0.2*IF(COUNTIF(P57:INDEX(P57:V57,$B$1),"&gt;0")=0,0,
(SUMIF(P57:INDEX(P57:V57,$B$1),"&gt;0",P57:INDEX(P57:V57,$B$1))*$B$1/COUNTIF(P57:INDEX(P57:V57,$B$1),"&gt;0"))*
IF($B$1-COUNTIF(P57:INDEX(P57:V57,$B$1),"&gt;0")&lt;=2,1,
IF($B$1-COUNTIF(P57:INDEX(P57:V57,$B$1),"&gt;0")=3,0.8,
IF($B$1-COUNTIF(P57:INDEX(P57:V57,$B$1),"&gt;0")=4,0.6,0))))</f>
        <v>46.56</v>
      </c>
      <c r="P57" s="3">
        <v>-1</v>
      </c>
      <c r="Q57" s="3">
        <v>36</v>
      </c>
      <c r="R57" s="3">
        <v>42</v>
      </c>
      <c r="S57" s="3">
        <v>50</v>
      </c>
      <c r="T57" s="3">
        <v>38</v>
      </c>
      <c r="U57" s="3">
        <v>28</v>
      </c>
      <c r="V57" s="3"/>
      <c r="W57" s="3">
        <f t="shared" si="30"/>
        <v>20</v>
      </c>
      <c r="X57" s="3"/>
      <c r="Y57" s="3"/>
      <c r="Z57" s="3"/>
      <c r="AA57" s="3"/>
      <c r="AB57" s="3"/>
      <c r="AC57" s="3" t="s">
        <v>176</v>
      </c>
      <c r="AD57" s="3"/>
      <c r="AE57" s="50">
        <f t="shared" si="31"/>
        <v>0</v>
      </c>
      <c r="AF57" s="12"/>
      <c r="AG57" s="12">
        <f t="shared" si="32"/>
        <v>0</v>
      </c>
      <c r="AH57" s="12">
        <f t="shared" si="33"/>
        <v>0</v>
      </c>
      <c r="AI57" s="12"/>
      <c r="AJ57" s="12">
        <f t="shared" si="34"/>
        <v>0</v>
      </c>
      <c r="AK57" s="12">
        <f t="shared" si="35"/>
        <v>0</v>
      </c>
      <c r="AL57" s="12"/>
      <c r="AM57" s="12">
        <f t="shared" si="36"/>
        <v>0</v>
      </c>
      <c r="AN57" s="12">
        <f t="shared" si="37"/>
        <v>0</v>
      </c>
      <c r="AO57" s="12"/>
      <c r="AP57" s="12">
        <f t="shared" si="38"/>
        <v>0</v>
      </c>
      <c r="AQ57" s="12">
        <f t="shared" si="39"/>
        <v>0</v>
      </c>
      <c r="AR57" s="12"/>
      <c r="AS57" s="12">
        <f t="shared" si="40"/>
        <v>0</v>
      </c>
      <c r="AT57" s="12">
        <f t="shared" si="41"/>
        <v>0</v>
      </c>
      <c r="AU57" s="12"/>
      <c r="AV57" s="12"/>
      <c r="AW57" s="12"/>
      <c r="AX57" s="12"/>
      <c r="AY57" s="12"/>
      <c r="AZ57" s="12"/>
      <c r="BA57" s="24"/>
      <c r="BB57" s="12">
        <f t="shared" si="42"/>
        <v>0</v>
      </c>
      <c r="BC57" s="51">
        <f t="shared" si="43"/>
        <v>0</v>
      </c>
      <c r="BD57" s="22">
        <v>0.01</v>
      </c>
      <c r="BE57" s="20">
        <f t="shared" si="44"/>
        <v>0.1</v>
      </c>
      <c r="BF57" s="12">
        <f t="shared" si="45"/>
        <v>29.650460200704352</v>
      </c>
      <c r="BG57" s="12"/>
      <c r="BH57" s="12"/>
      <c r="BI57" s="12"/>
      <c r="BJ57" s="24"/>
      <c r="BK57" s="24"/>
      <c r="BL57" s="24"/>
      <c r="BM57" s="12">
        <f t="shared" si="46"/>
        <v>0</v>
      </c>
      <c r="BN57" s="45">
        <f t="shared" si="47"/>
        <v>0</v>
      </c>
      <c r="BO57" s="27">
        <v>0</v>
      </c>
      <c r="BP57" s="27">
        <v>0</v>
      </c>
      <c r="BQ57" s="27"/>
      <c r="BR57" s="27"/>
      <c r="BS57" s="27"/>
      <c r="BT57" s="3"/>
      <c r="BU57" s="1"/>
      <c r="BV57" s="1"/>
      <c r="BW57" s="1"/>
    </row>
    <row r="58" spans="1:75" s="6" customFormat="1" ht="20.100000000000001" customHeight="1" x14ac:dyDescent="0.25">
      <c r="A58" s="1"/>
      <c r="B58" s="1">
        <v>63</v>
      </c>
      <c r="C58" s="44">
        <v>52</v>
      </c>
      <c r="D58" s="1" t="str">
        <f t="shared" si="28"/>
        <v>▲11</v>
      </c>
      <c r="E58" s="2" t="s">
        <v>77</v>
      </c>
      <c r="F58" s="47">
        <f t="shared" si="29"/>
        <v>381.28605994832486</v>
      </c>
      <c r="G58" s="15">
        <f>IF(COUNTIF(H58:INDEX(H58:N58,$B$1),"&gt;0")=0,0,
(SUMIF(H58:INDEX(H58:N58,$B$1),"&gt;0",H58:INDEX(H58:N58,$B$1))*$B$1/COUNTIF(H58:INDEX(H58:N58,$B$1),"&gt;0"))*
IF($B$1-COUNTIF(H58:INDEX(H58:N58,$B$1),"&gt;0")&lt;=2,1,
IF($B$1-COUNTIF(H58:INDEX(H58:N58,$B$1),"&gt;0")=3,0.8,
IF($B$1-COUNTIF(H58:INDEX(H58:N58,$B$1),"&gt;0")=4,0.6,0))))</f>
        <v>214.5</v>
      </c>
      <c r="H58" s="3">
        <v>-1</v>
      </c>
      <c r="I58" s="3">
        <v>-1</v>
      </c>
      <c r="J58" s="3">
        <v>28</v>
      </c>
      <c r="K58" s="3">
        <v>43</v>
      </c>
      <c r="L58" s="3">
        <v>21</v>
      </c>
      <c r="M58" s="3">
        <v>51</v>
      </c>
      <c r="N58" s="3"/>
      <c r="O58" s="12">
        <f>0.2*IF(COUNTIF(P58:INDEX(P58:V58,$B$1),"&gt;0")=0,0,
(SUMIF(P58:INDEX(P58:V58,$B$1),"&gt;0",P58:INDEX(P58:V58,$B$1))*$B$1/COUNTIF(P58:INDEX(P58:V58,$B$1),"&gt;0"))*
IF($B$1-COUNTIF(P58:INDEX(P58:V58,$B$1),"&gt;0")&lt;=2,1,
IF($B$1-COUNTIF(P58:INDEX(P58:V58,$B$1),"&gt;0")=3,0.8,
IF($B$1-COUNTIF(P58:INDEX(P58:V58,$B$1),"&gt;0")=4,0.6,0))))</f>
        <v>39.6</v>
      </c>
      <c r="P58" s="3">
        <v>-1</v>
      </c>
      <c r="Q58" s="3">
        <v>-1</v>
      </c>
      <c r="R58" s="3">
        <v>23</v>
      </c>
      <c r="S58" s="3">
        <v>33</v>
      </c>
      <c r="T58" s="3">
        <v>35</v>
      </c>
      <c r="U58" s="3">
        <v>41</v>
      </c>
      <c r="V58" s="3"/>
      <c r="W58" s="3">
        <f t="shared" si="30"/>
        <v>30</v>
      </c>
      <c r="X58" s="3"/>
      <c r="Y58" s="3"/>
      <c r="Z58" s="3" t="s">
        <v>30</v>
      </c>
      <c r="AA58" s="3"/>
      <c r="AB58" s="3"/>
      <c r="AC58" s="3" t="s">
        <v>176</v>
      </c>
      <c r="AD58" s="3"/>
      <c r="AE58" s="50">
        <f t="shared" si="31"/>
        <v>51.942718723739368</v>
      </c>
      <c r="AF58" s="12"/>
      <c r="AG58" s="12">
        <f t="shared" si="32"/>
        <v>0</v>
      </c>
      <c r="AH58" s="12">
        <f t="shared" si="33"/>
        <v>0</v>
      </c>
      <c r="AI58" s="12">
        <v>0.1</v>
      </c>
      <c r="AJ58" s="12">
        <f t="shared" si="34"/>
        <v>0.31622776601683794</v>
      </c>
      <c r="AK58" s="12">
        <f t="shared" si="35"/>
        <v>9.3537111307178193</v>
      </c>
      <c r="AL58" s="12"/>
      <c r="AM58" s="12">
        <f t="shared" si="36"/>
        <v>0</v>
      </c>
      <c r="AN58" s="12">
        <f t="shared" si="37"/>
        <v>0</v>
      </c>
      <c r="AO58" s="12"/>
      <c r="AP58" s="12">
        <f t="shared" si="38"/>
        <v>0</v>
      </c>
      <c r="AQ58" s="12">
        <f t="shared" si="39"/>
        <v>0</v>
      </c>
      <c r="AR58" s="12"/>
      <c r="AS58" s="12">
        <f t="shared" si="40"/>
        <v>0</v>
      </c>
      <c r="AT58" s="12">
        <f t="shared" si="41"/>
        <v>0</v>
      </c>
      <c r="AU58" s="12"/>
      <c r="AV58" s="12"/>
      <c r="AW58" s="12"/>
      <c r="AX58" s="12"/>
      <c r="AY58" s="12"/>
      <c r="AZ58" s="12"/>
      <c r="BA58" s="24">
        <v>160</v>
      </c>
      <c r="BB58" s="12">
        <f t="shared" si="42"/>
        <v>12.649110640673518</v>
      </c>
      <c r="BC58" s="51">
        <f t="shared" si="43"/>
        <v>42.589007593021549</v>
      </c>
      <c r="BD58" s="22">
        <v>0.02</v>
      </c>
      <c r="BE58" s="20">
        <f t="shared" si="44"/>
        <v>0.1414213562373095</v>
      </c>
      <c r="BF58" s="12">
        <f t="shared" si="45"/>
        <v>41.93208294643977</v>
      </c>
      <c r="BG58" s="12"/>
      <c r="BH58" s="12"/>
      <c r="BI58" s="12"/>
      <c r="BJ58" s="24"/>
      <c r="BK58" s="24"/>
      <c r="BL58" s="24">
        <v>1</v>
      </c>
      <c r="BM58" s="12">
        <f t="shared" si="46"/>
        <v>3.3112582781456954</v>
      </c>
      <c r="BN58" s="45">
        <f t="shared" si="47"/>
        <v>0</v>
      </c>
      <c r="BO58" s="27">
        <v>0</v>
      </c>
      <c r="BP58" s="27">
        <v>0</v>
      </c>
      <c r="BQ58" s="27"/>
      <c r="BR58" s="27"/>
      <c r="BS58" s="27"/>
      <c r="BT58" s="3"/>
      <c r="BU58" s="1"/>
      <c r="BV58" s="1"/>
      <c r="BW58" s="1"/>
    </row>
    <row r="59" spans="1:75" s="6" customFormat="1" ht="20.100000000000001" customHeight="1" x14ac:dyDescent="0.25">
      <c r="A59" s="1"/>
      <c r="B59" s="1">
        <v>61</v>
      </c>
      <c r="C59" s="44">
        <v>53</v>
      </c>
      <c r="D59" s="1" t="str">
        <f t="shared" si="28"/>
        <v>▲8</v>
      </c>
      <c r="E59" s="2" t="s">
        <v>78</v>
      </c>
      <c r="F59" s="47">
        <f t="shared" si="29"/>
        <v>363.1305848210751</v>
      </c>
      <c r="G59" s="15">
        <f>IF(COUNTIF(H59:INDEX(H59:N59,$B$1),"&gt;0")=0,0,
(SUMIF(H59:INDEX(H59:N59,$B$1),"&gt;0",H59:INDEX(H59:N59,$B$1))*$B$1/COUNTIF(H59:INDEX(H59:N59,$B$1),"&gt;0"))*
IF($B$1-COUNTIF(H59:INDEX(H59:N59,$B$1),"&gt;0")&lt;=2,1,
IF($B$1-COUNTIF(H59:INDEX(H59:N59,$B$1),"&gt;0")=3,0.8,
IF($B$1-COUNTIF(H59:INDEX(H59:N59,$B$1),"&gt;0")=4,0.6,0))))</f>
        <v>175</v>
      </c>
      <c r="H59" s="3">
        <v>48</v>
      </c>
      <c r="I59" s="3">
        <v>17</v>
      </c>
      <c r="J59" s="3">
        <v>22</v>
      </c>
      <c r="K59" s="3">
        <v>47</v>
      </c>
      <c r="L59" s="3">
        <v>17</v>
      </c>
      <c r="M59" s="3">
        <v>24</v>
      </c>
      <c r="N59" s="3"/>
      <c r="O59" s="12">
        <f>0.2*IF(COUNTIF(P59:INDEX(P59:V59,$B$1),"&gt;0")=0,0,
(SUMIF(P59:INDEX(P59:V59,$B$1),"&gt;0",P59:INDEX(P59:V59,$B$1))*$B$1/COUNTIF(P59:INDEX(P59:V59,$B$1),"&gt;0"))*
IF($B$1-COUNTIF(P59:INDEX(P59:V59,$B$1),"&gt;0")&lt;=2,1,
IF($B$1-COUNTIF(P59:INDEX(P59:V59,$B$1),"&gt;0")=3,0.8,
IF($B$1-COUNTIF(P59:INDEX(P59:V59,$B$1),"&gt;0")=4,0.6,0))))</f>
        <v>42</v>
      </c>
      <c r="P59" s="3">
        <v>38</v>
      </c>
      <c r="Q59" s="3">
        <v>32</v>
      </c>
      <c r="R59" s="3">
        <v>32</v>
      </c>
      <c r="S59" s="3">
        <v>40</v>
      </c>
      <c r="T59" s="3">
        <v>30</v>
      </c>
      <c r="U59" s="3">
        <v>38</v>
      </c>
      <c r="V59" s="3"/>
      <c r="W59" s="3">
        <f t="shared" si="30"/>
        <v>20</v>
      </c>
      <c r="X59" s="3"/>
      <c r="Y59" s="3"/>
      <c r="Z59" s="3"/>
      <c r="AA59" s="3"/>
      <c r="AB59" s="3"/>
      <c r="AC59" s="3" t="s">
        <v>176</v>
      </c>
      <c r="AD59" s="3"/>
      <c r="AE59" s="50">
        <f t="shared" si="31"/>
        <v>7.5287440182577239</v>
      </c>
      <c r="AF59" s="12"/>
      <c r="AG59" s="12">
        <f t="shared" si="32"/>
        <v>0</v>
      </c>
      <c r="AH59" s="12">
        <f t="shared" si="33"/>
        <v>0</v>
      </c>
      <c r="AI59" s="12"/>
      <c r="AJ59" s="12">
        <f t="shared" si="34"/>
        <v>0</v>
      </c>
      <c r="AK59" s="12">
        <f t="shared" si="35"/>
        <v>0</v>
      </c>
      <c r="AL59" s="12"/>
      <c r="AM59" s="12">
        <f t="shared" si="36"/>
        <v>0</v>
      </c>
      <c r="AN59" s="12">
        <f t="shared" si="37"/>
        <v>0</v>
      </c>
      <c r="AO59" s="12"/>
      <c r="AP59" s="12">
        <f t="shared" si="38"/>
        <v>0</v>
      </c>
      <c r="AQ59" s="12">
        <f t="shared" si="39"/>
        <v>0</v>
      </c>
      <c r="AR59" s="12"/>
      <c r="AS59" s="12">
        <f t="shared" si="40"/>
        <v>0</v>
      </c>
      <c r="AT59" s="12">
        <f t="shared" si="41"/>
        <v>0</v>
      </c>
      <c r="AU59" s="12"/>
      <c r="AV59" s="12"/>
      <c r="AW59" s="12"/>
      <c r="AX59" s="12"/>
      <c r="AY59" s="12"/>
      <c r="AZ59" s="12"/>
      <c r="BA59" s="24">
        <v>5</v>
      </c>
      <c r="BB59" s="12">
        <f t="shared" si="42"/>
        <v>2.2360679774997898</v>
      </c>
      <c r="BC59" s="51">
        <f t="shared" si="43"/>
        <v>7.5287440182577239</v>
      </c>
      <c r="BD59" s="22">
        <v>0.16</v>
      </c>
      <c r="BE59" s="20">
        <f t="shared" si="44"/>
        <v>0.4</v>
      </c>
      <c r="BF59" s="12">
        <f t="shared" si="45"/>
        <v>118.60184080281741</v>
      </c>
      <c r="BG59" s="12"/>
      <c r="BH59" s="12"/>
      <c r="BI59" s="12"/>
      <c r="BJ59" s="24"/>
      <c r="BK59" s="24"/>
      <c r="BL59" s="24"/>
      <c r="BM59" s="12">
        <f t="shared" si="46"/>
        <v>0</v>
      </c>
      <c r="BN59" s="45">
        <f t="shared" si="47"/>
        <v>0</v>
      </c>
      <c r="BO59" s="27">
        <v>0</v>
      </c>
      <c r="BP59" s="27">
        <v>0</v>
      </c>
      <c r="BQ59" s="27"/>
      <c r="BR59" s="27"/>
      <c r="BS59" s="27"/>
      <c r="BT59" s="3"/>
      <c r="BU59" s="1"/>
      <c r="BV59" s="1"/>
      <c r="BW59" s="1"/>
    </row>
    <row r="60" spans="1:75" s="6" customFormat="1" ht="20.100000000000001" customHeight="1" x14ac:dyDescent="0.25">
      <c r="A60" s="1"/>
      <c r="B60" s="1">
        <v>60</v>
      </c>
      <c r="C60" s="44">
        <v>54</v>
      </c>
      <c r="D60" s="1" t="str">
        <f t="shared" si="28"/>
        <v>▲6</v>
      </c>
      <c r="E60" s="2" t="s">
        <v>91</v>
      </c>
      <c r="F60" s="47">
        <f t="shared" si="29"/>
        <v>354.08638381109677</v>
      </c>
      <c r="G60" s="15">
        <f>IF(COUNTIF(H60:INDEX(H60:N60,$B$1),"&gt;0")=0,0,
(SUMIF(H60:INDEX(H60:N60,$B$1),"&gt;0",H60:INDEX(H60:N60,$B$1))*$B$1/COUNTIF(H60:INDEX(H60:N60,$B$1),"&gt;0"))*
IF($B$1-COUNTIF(H60:INDEX(H60:N60,$B$1),"&gt;0")&lt;=2,1,
IF($B$1-COUNTIF(H60:INDEX(H60:N60,$B$1),"&gt;0")=3,0.8,
IF($B$1-COUNTIF(H60:INDEX(H60:N60,$B$1),"&gt;0")=4,0.6,0))))</f>
        <v>64</v>
      </c>
      <c r="H60" s="3">
        <v>14</v>
      </c>
      <c r="I60" s="3">
        <v>12</v>
      </c>
      <c r="J60" s="3">
        <v>10</v>
      </c>
      <c r="K60" s="3">
        <v>9</v>
      </c>
      <c r="L60" s="3">
        <v>9</v>
      </c>
      <c r="M60" s="3">
        <v>10</v>
      </c>
      <c r="N60" s="3"/>
      <c r="O60" s="12">
        <f>0.2*IF(COUNTIF(P60:INDEX(P60:V60,$B$1),"&gt;0")=0,0,
(SUMIF(P60:INDEX(P60:V60,$B$1),"&gt;0",P60:INDEX(P60:V60,$B$1))*$B$1/COUNTIF(P60:INDEX(P60:V60,$B$1),"&gt;0"))*
IF($B$1-COUNTIF(P60:INDEX(P60:V60,$B$1),"&gt;0")&lt;=2,1,
IF($B$1-COUNTIF(P60:INDEX(P60:V60,$B$1),"&gt;0")=3,0.8,
IF($B$1-COUNTIF(P60:INDEX(P60:V60,$B$1),"&gt;0")=4,0.6,0))))</f>
        <v>65.400000000000006</v>
      </c>
      <c r="P60" s="3">
        <v>56</v>
      </c>
      <c r="Q60" s="3">
        <v>50</v>
      </c>
      <c r="R60" s="3">
        <v>53</v>
      </c>
      <c r="S60" s="3">
        <v>56</v>
      </c>
      <c r="T60" s="3">
        <v>55</v>
      </c>
      <c r="U60" s="3">
        <v>57</v>
      </c>
      <c r="V60" s="3"/>
      <c r="W60" s="3">
        <f t="shared" si="30"/>
        <v>20</v>
      </c>
      <c r="X60" s="3"/>
      <c r="Y60" s="3"/>
      <c r="Z60" s="3"/>
      <c r="AA60" s="3"/>
      <c r="AB60" s="3"/>
      <c r="AC60" s="3" t="s">
        <v>176</v>
      </c>
      <c r="AD60" s="3"/>
      <c r="AE60" s="50">
        <f t="shared" si="31"/>
        <v>9.3537111307178193</v>
      </c>
      <c r="AF60" s="12"/>
      <c r="AG60" s="12">
        <f t="shared" si="32"/>
        <v>0</v>
      </c>
      <c r="AH60" s="12">
        <f t="shared" si="33"/>
        <v>0</v>
      </c>
      <c r="AI60" s="12">
        <v>0.1</v>
      </c>
      <c r="AJ60" s="12">
        <f t="shared" si="34"/>
        <v>0.31622776601683794</v>
      </c>
      <c r="AK60" s="12">
        <f t="shared" si="35"/>
        <v>9.3537111307178193</v>
      </c>
      <c r="AL60" s="12"/>
      <c r="AM60" s="12">
        <f t="shared" si="36"/>
        <v>0</v>
      </c>
      <c r="AN60" s="12">
        <f t="shared" si="37"/>
        <v>0</v>
      </c>
      <c r="AO60" s="12"/>
      <c r="AP60" s="12">
        <f t="shared" si="38"/>
        <v>0</v>
      </c>
      <c r="AQ60" s="12">
        <f t="shared" si="39"/>
        <v>0</v>
      </c>
      <c r="AR60" s="12"/>
      <c r="AS60" s="12">
        <f t="shared" si="40"/>
        <v>0</v>
      </c>
      <c r="AT60" s="12">
        <f t="shared" si="41"/>
        <v>0</v>
      </c>
      <c r="AU60" s="12"/>
      <c r="AV60" s="12"/>
      <c r="AW60" s="12"/>
      <c r="AX60" s="12"/>
      <c r="AY60" s="12"/>
      <c r="AZ60" s="12"/>
      <c r="BA60" s="24"/>
      <c r="BB60" s="12">
        <f t="shared" si="42"/>
        <v>0</v>
      </c>
      <c r="BC60" s="51">
        <f t="shared" si="43"/>
        <v>0</v>
      </c>
      <c r="BD60" s="22">
        <v>0.18</v>
      </c>
      <c r="BE60" s="20">
        <f t="shared" si="44"/>
        <v>0.42426406871192851</v>
      </c>
      <c r="BF60" s="12">
        <f t="shared" si="45"/>
        <v>125.79624883931932</v>
      </c>
      <c r="BG60" s="12"/>
      <c r="BH60" s="12"/>
      <c r="BI60" s="12"/>
      <c r="BJ60" s="24"/>
      <c r="BK60" s="24"/>
      <c r="BL60" s="24">
        <v>21</v>
      </c>
      <c r="BM60" s="12">
        <f t="shared" si="46"/>
        <v>69.536423841059602</v>
      </c>
      <c r="BN60" s="45">
        <f t="shared" si="47"/>
        <v>0</v>
      </c>
      <c r="BO60" s="27">
        <v>0</v>
      </c>
      <c r="BP60" s="27">
        <v>0</v>
      </c>
      <c r="BQ60" s="27"/>
      <c r="BR60" s="27"/>
      <c r="BS60" s="27"/>
      <c r="BT60" s="3"/>
      <c r="BU60" s="1"/>
      <c r="BV60" s="1"/>
      <c r="BW60" s="1"/>
    </row>
    <row r="61" spans="1:75" s="6" customFormat="1" ht="20.100000000000001" customHeight="1" x14ac:dyDescent="0.25">
      <c r="A61" s="1"/>
      <c r="B61" s="1">
        <v>65</v>
      </c>
      <c r="C61" s="44">
        <v>55</v>
      </c>
      <c r="D61" s="1" t="str">
        <f t="shared" si="28"/>
        <v>▲10</v>
      </c>
      <c r="E61" s="2" t="s">
        <v>79</v>
      </c>
      <c r="F61" s="47">
        <f t="shared" si="29"/>
        <v>338.90092040140871</v>
      </c>
      <c r="G61" s="15">
        <f>IF(COUNTIF(H61:INDEX(H61:N61,$B$1),"&gt;0")=0,0,
(SUMIF(H61:INDEX(H61:N61,$B$1),"&gt;0",H61:INDEX(H61:N61,$B$1))*$B$1/COUNTIF(H61:INDEX(H61:N61,$B$1),"&gt;0"))*
IF($B$1-COUNTIF(H61:INDEX(H61:N61,$B$1),"&gt;0")&lt;=2,1,
IF($B$1-COUNTIF(H61:INDEX(H61:N61,$B$1),"&gt;0")=3,0.8,
IF($B$1-COUNTIF(H61:INDEX(H61:N61,$B$1),"&gt;0")=4,0.6,0))))</f>
        <v>207</v>
      </c>
      <c r="H61" s="3">
        <v>25</v>
      </c>
      <c r="I61" s="3">
        <v>28</v>
      </c>
      <c r="J61" s="3">
        <v>28</v>
      </c>
      <c r="K61" s="3">
        <v>34</v>
      </c>
      <c r="L61" s="3">
        <v>41</v>
      </c>
      <c r="M61" s="3">
        <v>51</v>
      </c>
      <c r="N61" s="3"/>
      <c r="O61" s="12">
        <f>0.2*IF(COUNTIF(P61:INDEX(P61:V61,$B$1),"&gt;0")=0,0,
(SUMIF(P61:INDEX(P61:V61,$B$1),"&gt;0",P61:INDEX(P61:V61,$B$1))*$B$1/COUNTIF(P61:INDEX(P61:V61,$B$1),"&gt;0"))*
IF($B$1-COUNTIF(P61:INDEX(P61:V61,$B$1),"&gt;0")&lt;=2,1,
IF($B$1-COUNTIF(P61:INDEX(P61:V61,$B$1),"&gt;0")=3,0.8,
IF($B$1-COUNTIF(P61:INDEX(P61:V61,$B$1),"&gt;0")=4,0.6,0))))</f>
        <v>52.6</v>
      </c>
      <c r="P61" s="3">
        <v>47</v>
      </c>
      <c r="Q61" s="3">
        <v>36</v>
      </c>
      <c r="R61" s="3">
        <v>45</v>
      </c>
      <c r="S61" s="3">
        <v>47</v>
      </c>
      <c r="T61" s="3">
        <v>41</v>
      </c>
      <c r="U61" s="3">
        <v>47</v>
      </c>
      <c r="V61" s="3"/>
      <c r="W61" s="3">
        <f t="shared" si="30"/>
        <v>20</v>
      </c>
      <c r="X61" s="3"/>
      <c r="Y61" s="3"/>
      <c r="Z61" s="3"/>
      <c r="AA61" s="3"/>
      <c r="AB61" s="3"/>
      <c r="AC61" s="3" t="s">
        <v>176</v>
      </c>
      <c r="AD61" s="3"/>
      <c r="AE61" s="50">
        <f t="shared" si="31"/>
        <v>0</v>
      </c>
      <c r="AF61" s="12"/>
      <c r="AG61" s="12">
        <f t="shared" si="32"/>
        <v>0</v>
      </c>
      <c r="AH61" s="12">
        <f t="shared" si="33"/>
        <v>0</v>
      </c>
      <c r="AI61" s="12"/>
      <c r="AJ61" s="12">
        <f t="shared" si="34"/>
        <v>0</v>
      </c>
      <c r="AK61" s="12">
        <f t="shared" si="35"/>
        <v>0</v>
      </c>
      <c r="AL61" s="12"/>
      <c r="AM61" s="12">
        <f t="shared" si="36"/>
        <v>0</v>
      </c>
      <c r="AN61" s="12">
        <f t="shared" si="37"/>
        <v>0</v>
      </c>
      <c r="AO61" s="12"/>
      <c r="AP61" s="12">
        <f t="shared" si="38"/>
        <v>0</v>
      </c>
      <c r="AQ61" s="12">
        <f t="shared" si="39"/>
        <v>0</v>
      </c>
      <c r="AR61" s="12"/>
      <c r="AS61" s="12">
        <f t="shared" si="40"/>
        <v>0</v>
      </c>
      <c r="AT61" s="12">
        <f t="shared" si="41"/>
        <v>0</v>
      </c>
      <c r="AU61" s="12"/>
      <c r="AV61" s="12"/>
      <c r="AW61" s="12"/>
      <c r="AX61" s="12"/>
      <c r="AY61" s="12"/>
      <c r="AZ61" s="12"/>
      <c r="BA61" s="24"/>
      <c r="BB61" s="12">
        <f t="shared" si="42"/>
        <v>0</v>
      </c>
      <c r="BC61" s="51">
        <f t="shared" si="43"/>
        <v>0</v>
      </c>
      <c r="BD61" s="22">
        <v>0.04</v>
      </c>
      <c r="BE61" s="20">
        <f t="shared" si="44"/>
        <v>0.2</v>
      </c>
      <c r="BF61" s="12">
        <f t="shared" si="45"/>
        <v>59.300920401408703</v>
      </c>
      <c r="BG61" s="12"/>
      <c r="BH61" s="12"/>
      <c r="BI61" s="12"/>
      <c r="BJ61" s="24"/>
      <c r="BK61" s="24"/>
      <c r="BL61" s="24"/>
      <c r="BM61" s="12">
        <f t="shared" si="46"/>
        <v>0</v>
      </c>
      <c r="BN61" s="45">
        <f t="shared" si="47"/>
        <v>0</v>
      </c>
      <c r="BO61" s="27">
        <v>0</v>
      </c>
      <c r="BP61" s="27">
        <v>0</v>
      </c>
      <c r="BQ61" s="27"/>
      <c r="BR61" s="27"/>
      <c r="BS61" s="27"/>
      <c r="BT61" s="3"/>
      <c r="BU61" s="1"/>
      <c r="BV61" s="1"/>
      <c r="BW61" s="1"/>
    </row>
    <row r="62" spans="1:75" s="6" customFormat="1" ht="20.100000000000001" customHeight="1" x14ac:dyDescent="0.25">
      <c r="A62" s="1"/>
      <c r="B62" s="1">
        <v>57</v>
      </c>
      <c r="C62" s="44">
        <v>56</v>
      </c>
      <c r="D62" s="1" t="str">
        <f t="shared" si="28"/>
        <v>▲1</v>
      </c>
      <c r="E62" s="2" t="s">
        <v>69</v>
      </c>
      <c r="F62" s="47">
        <f t="shared" si="29"/>
        <v>334.29604779930037</v>
      </c>
      <c r="G62" s="15">
        <f>IF(COUNTIF(H62:INDEX(H62:N62,$B$1),"&gt;0")=0,0,
(SUMIF(H62:INDEX(H62:N62,$B$1),"&gt;0",H62:INDEX(H62:N62,$B$1))*$B$1/COUNTIF(H62:INDEX(H62:N62,$B$1),"&gt;0"))*
IF($B$1-COUNTIF(H62:INDEX(H62:N62,$B$1),"&gt;0")&lt;=2,1,
IF($B$1-COUNTIF(H62:INDEX(H62:N62,$B$1),"&gt;0")=3,0.8,
IF($B$1-COUNTIF(H62:INDEX(H62:N62,$B$1),"&gt;0")=4,0.6,0))))</f>
        <v>233</v>
      </c>
      <c r="H62" s="3">
        <v>37</v>
      </c>
      <c r="I62" s="3">
        <v>34</v>
      </c>
      <c r="J62" s="3">
        <v>51</v>
      </c>
      <c r="K62" s="3">
        <v>41</v>
      </c>
      <c r="L62" s="3">
        <v>32</v>
      </c>
      <c r="M62" s="3">
        <v>38</v>
      </c>
      <c r="N62" s="3"/>
      <c r="O62" s="12">
        <f>0.2*IF(COUNTIF(P62:INDEX(P62:V62,$B$1),"&gt;0")=0,0,
(SUMIF(P62:INDEX(P62:V62,$B$1),"&gt;0",P62:INDEX(P62:V62,$B$1))*$B$1/COUNTIF(P62:INDEX(P62:V62,$B$1),"&gt;0"))*
IF($B$1-COUNTIF(P62:INDEX(P62:V62,$B$1),"&gt;0")&lt;=2,1,
IF($B$1-COUNTIF(P62:INDEX(P62:V62,$B$1),"&gt;0")=3,0.8,
IF($B$1-COUNTIF(P62:INDEX(P62:V62,$B$1),"&gt;0")=4,0.6,0))))</f>
        <v>38.800000000000004</v>
      </c>
      <c r="P62" s="3">
        <v>35</v>
      </c>
      <c r="Q62" s="3">
        <v>30</v>
      </c>
      <c r="R62" s="3">
        <v>33</v>
      </c>
      <c r="S62" s="3">
        <v>36</v>
      </c>
      <c r="T62" s="3">
        <v>25</v>
      </c>
      <c r="U62" s="3">
        <v>35</v>
      </c>
      <c r="V62" s="3"/>
      <c r="W62" s="3">
        <f t="shared" si="30"/>
        <v>20</v>
      </c>
      <c r="X62" s="3"/>
      <c r="Y62" s="3"/>
      <c r="Z62" s="3"/>
      <c r="AA62" s="3"/>
      <c r="AB62" s="3"/>
      <c r="AC62" s="3" t="s">
        <v>176</v>
      </c>
      <c r="AD62" s="3"/>
      <c r="AE62" s="50">
        <f t="shared" si="31"/>
        <v>0</v>
      </c>
      <c r="AF62" s="12"/>
      <c r="AG62" s="12">
        <f t="shared" si="32"/>
        <v>0</v>
      </c>
      <c r="AH62" s="12">
        <f t="shared" si="33"/>
        <v>0</v>
      </c>
      <c r="AI62" s="12"/>
      <c r="AJ62" s="12">
        <f t="shared" si="34"/>
        <v>0</v>
      </c>
      <c r="AK62" s="12">
        <f t="shared" si="35"/>
        <v>0</v>
      </c>
      <c r="AL62" s="12"/>
      <c r="AM62" s="12">
        <f t="shared" si="36"/>
        <v>0</v>
      </c>
      <c r="AN62" s="12">
        <f t="shared" si="37"/>
        <v>0</v>
      </c>
      <c r="AO62" s="12"/>
      <c r="AP62" s="12">
        <f t="shared" si="38"/>
        <v>0</v>
      </c>
      <c r="AQ62" s="12">
        <f t="shared" si="39"/>
        <v>0</v>
      </c>
      <c r="AR62" s="12"/>
      <c r="AS62" s="12">
        <f t="shared" si="40"/>
        <v>0</v>
      </c>
      <c r="AT62" s="12">
        <f t="shared" si="41"/>
        <v>0</v>
      </c>
      <c r="AU62" s="12"/>
      <c r="AV62" s="12"/>
      <c r="AW62" s="12"/>
      <c r="AX62" s="12"/>
      <c r="AY62" s="12"/>
      <c r="AZ62" s="12"/>
      <c r="BA62" s="24"/>
      <c r="BB62" s="12">
        <f t="shared" si="42"/>
        <v>0</v>
      </c>
      <c r="BC62" s="51">
        <f t="shared" si="43"/>
        <v>0</v>
      </c>
      <c r="BD62" s="22">
        <v>0.06</v>
      </c>
      <c r="BE62" s="20">
        <f t="shared" si="44"/>
        <v>0.2449489742783178</v>
      </c>
      <c r="BF62" s="12">
        <f t="shared" si="45"/>
        <v>72.628498130426152</v>
      </c>
      <c r="BG62" s="12"/>
      <c r="BH62" s="12"/>
      <c r="BI62" s="12"/>
      <c r="BJ62" s="24"/>
      <c r="BK62" s="24"/>
      <c r="BL62" s="24">
        <v>6</v>
      </c>
      <c r="BM62" s="12">
        <f t="shared" si="46"/>
        <v>19.867549668874172</v>
      </c>
      <c r="BN62" s="45">
        <f t="shared" si="47"/>
        <v>-50</v>
      </c>
      <c r="BO62" s="27">
        <v>0</v>
      </c>
      <c r="BP62" s="27">
        <v>-50</v>
      </c>
      <c r="BQ62" s="27"/>
      <c r="BR62" s="27"/>
      <c r="BS62" s="27"/>
      <c r="BT62" s="3"/>
      <c r="BU62" s="1"/>
      <c r="BV62" s="1"/>
      <c r="BW62" s="1"/>
    </row>
    <row r="63" spans="1:75" s="6" customFormat="1" ht="19.5" customHeight="1" x14ac:dyDescent="0.25">
      <c r="A63" s="1"/>
      <c r="B63" s="1">
        <v>66</v>
      </c>
      <c r="C63" s="44">
        <v>57</v>
      </c>
      <c r="D63" s="1" t="str">
        <f t="shared" si="28"/>
        <v>▲9</v>
      </c>
      <c r="E63" s="2" t="s">
        <v>70</v>
      </c>
      <c r="F63" s="47">
        <f t="shared" si="29"/>
        <v>321.61046020070432</v>
      </c>
      <c r="G63" s="15">
        <f>IF(COUNTIF(H63:INDEX(H63:N63,$B$1),"&gt;0")=0,0,
(SUMIF(H63:INDEX(H63:N63,$B$1),"&gt;0",H63:INDEX(H63:N63,$B$1))*$B$1/COUNTIF(H63:INDEX(H63:N63,$B$1),"&gt;0"))*
IF($B$1-COUNTIF(H63:INDEX(H63:N63,$B$1),"&gt;0")&lt;=2,1,
IF($B$1-COUNTIF(H63:INDEX(H63:N63,$B$1),"&gt;0")=3,0.8,
IF($B$1-COUNTIF(H63:INDEX(H63:N63,$B$1),"&gt;0")=4,0.6,0))))</f>
        <v>241</v>
      </c>
      <c r="H63" s="3">
        <v>41</v>
      </c>
      <c r="I63" s="3">
        <v>39</v>
      </c>
      <c r="J63" s="3">
        <v>43</v>
      </c>
      <c r="K63" s="3">
        <v>51</v>
      </c>
      <c r="L63" s="3">
        <v>25</v>
      </c>
      <c r="M63" s="3">
        <v>42</v>
      </c>
      <c r="N63" s="3"/>
      <c r="O63" s="12">
        <f>0.2*IF(COUNTIF(P63:INDEX(P63:V63,$B$1),"&gt;0")=0,0,
(SUMIF(P63:INDEX(P63:V63,$B$1),"&gt;0",P63:INDEX(P63:V63,$B$1))*$B$1/COUNTIF(P63:INDEX(P63:V63,$B$1),"&gt;0"))*
IF($B$1-COUNTIF(P63:INDEX(P63:V63,$B$1),"&gt;0")&lt;=2,1,
IF($B$1-COUNTIF(P63:INDEX(P63:V63,$B$1),"&gt;0")=3,0.8,
IF($B$1-COUNTIF(P63:INDEX(P63:V63,$B$1),"&gt;0")=4,0.6,0))))</f>
        <v>30.960000000000004</v>
      </c>
      <c r="P63" s="3">
        <v>-1</v>
      </c>
      <c r="Q63" s="3">
        <v>26</v>
      </c>
      <c r="R63" s="3">
        <v>30</v>
      </c>
      <c r="S63" s="3">
        <v>27</v>
      </c>
      <c r="T63" s="3">
        <v>23</v>
      </c>
      <c r="U63" s="3">
        <v>23</v>
      </c>
      <c r="V63" s="3"/>
      <c r="W63" s="3">
        <f t="shared" si="30"/>
        <v>20</v>
      </c>
      <c r="X63" s="3"/>
      <c r="Y63" s="3"/>
      <c r="Z63" s="3"/>
      <c r="AA63" s="3"/>
      <c r="AB63" s="3"/>
      <c r="AC63" s="3" t="s">
        <v>176</v>
      </c>
      <c r="AD63" s="3"/>
      <c r="AE63" s="50">
        <f t="shared" si="31"/>
        <v>0</v>
      </c>
      <c r="AF63" s="12"/>
      <c r="AG63" s="12">
        <f t="shared" si="32"/>
        <v>0</v>
      </c>
      <c r="AH63" s="12">
        <f t="shared" si="33"/>
        <v>0</v>
      </c>
      <c r="AI63" s="12"/>
      <c r="AJ63" s="12">
        <f t="shared" si="34"/>
        <v>0</v>
      </c>
      <c r="AK63" s="12">
        <f t="shared" si="35"/>
        <v>0</v>
      </c>
      <c r="AL63" s="12"/>
      <c r="AM63" s="12">
        <f t="shared" si="36"/>
        <v>0</v>
      </c>
      <c r="AN63" s="12">
        <f t="shared" si="37"/>
        <v>0</v>
      </c>
      <c r="AO63" s="12"/>
      <c r="AP63" s="12">
        <f t="shared" si="38"/>
        <v>0</v>
      </c>
      <c r="AQ63" s="12">
        <f t="shared" si="39"/>
        <v>0</v>
      </c>
      <c r="AR63" s="12"/>
      <c r="AS63" s="12">
        <f t="shared" si="40"/>
        <v>0</v>
      </c>
      <c r="AT63" s="12">
        <f t="shared" si="41"/>
        <v>0</v>
      </c>
      <c r="AU63" s="12"/>
      <c r="AV63" s="12"/>
      <c r="AW63" s="12"/>
      <c r="AX63" s="12"/>
      <c r="AY63" s="12"/>
      <c r="AZ63" s="12"/>
      <c r="BA63" s="24"/>
      <c r="BB63" s="12">
        <f t="shared" si="42"/>
        <v>0</v>
      </c>
      <c r="BC63" s="51">
        <f t="shared" si="43"/>
        <v>0</v>
      </c>
      <c r="BD63" s="22">
        <v>0.01</v>
      </c>
      <c r="BE63" s="20">
        <f t="shared" si="44"/>
        <v>0.1</v>
      </c>
      <c r="BF63" s="12">
        <f t="shared" si="45"/>
        <v>29.650460200704352</v>
      </c>
      <c r="BG63" s="12"/>
      <c r="BH63" s="12"/>
      <c r="BI63" s="12"/>
      <c r="BJ63" s="24"/>
      <c r="BK63" s="24"/>
      <c r="BL63" s="24"/>
      <c r="BM63" s="12">
        <f t="shared" si="46"/>
        <v>0</v>
      </c>
      <c r="BN63" s="45">
        <f t="shared" si="47"/>
        <v>0</v>
      </c>
      <c r="BO63" s="27">
        <v>0</v>
      </c>
      <c r="BP63" s="27">
        <v>0</v>
      </c>
      <c r="BQ63" s="27"/>
      <c r="BR63" s="27"/>
      <c r="BS63" s="27"/>
      <c r="BT63" s="3"/>
      <c r="BU63" s="1"/>
      <c r="BV63" s="1"/>
      <c r="BW63" s="1"/>
    </row>
    <row r="64" spans="1:75" s="6" customFormat="1" ht="20.100000000000001" customHeight="1" x14ac:dyDescent="0.25">
      <c r="A64" s="1"/>
      <c r="B64" s="1">
        <v>59</v>
      </c>
      <c r="C64" s="44">
        <v>58</v>
      </c>
      <c r="D64" s="1" t="str">
        <f t="shared" si="28"/>
        <v>▲1</v>
      </c>
      <c r="E64" s="2" t="s">
        <v>64</v>
      </c>
      <c r="F64" s="47">
        <f t="shared" si="29"/>
        <v>317.44177569605091</v>
      </c>
      <c r="G64" s="15">
        <f>IF(COUNTIF(H64:INDEX(H64:N64,$B$1),"&gt;0")=0,0,
(SUMIF(H64:INDEX(H64:N64,$B$1),"&gt;0",H64:INDEX(H64:N64,$B$1))*$B$1/COUNTIF(H64:INDEX(H64:N64,$B$1),"&gt;0"))*
IF($B$1-COUNTIF(H64:INDEX(H64:N64,$B$1),"&gt;0")&lt;=2,1,
IF($B$1-COUNTIF(H64:INDEX(H64:N64,$B$1),"&gt;0")=3,0.8,
IF($B$1-COUNTIF(H64:INDEX(H64:N64,$B$1),"&gt;0")=4,0.6,0))))</f>
        <v>258</v>
      </c>
      <c r="H64" s="3">
        <v>41</v>
      </c>
      <c r="I64" s="3">
        <v>52</v>
      </c>
      <c r="J64" s="3">
        <v>40</v>
      </c>
      <c r="K64" s="3">
        <v>37</v>
      </c>
      <c r="L64" s="3">
        <v>55</v>
      </c>
      <c r="M64" s="3">
        <v>33</v>
      </c>
      <c r="N64" s="3"/>
      <c r="O64" s="12">
        <f>0.2*IF(COUNTIF(P64:INDEX(P64:V64,$B$1),"&gt;0")=0,0,
(SUMIF(P64:INDEX(P64:V64,$B$1),"&gt;0",P64:INDEX(P64:V64,$B$1))*$B$1/COUNTIF(P64:INDEX(P64:V64,$B$1),"&gt;0"))*
IF($B$1-COUNTIF(P64:INDEX(P64:V64,$B$1),"&gt;0")&lt;=2,1,
IF($B$1-COUNTIF(P64:INDEX(P64:V64,$B$1),"&gt;0")=3,0.8,
IF($B$1-COUNTIF(P64:INDEX(P64:V64,$B$1),"&gt;0")=4,0.6,0))))</f>
        <v>41</v>
      </c>
      <c r="P64" s="3">
        <v>38</v>
      </c>
      <c r="Q64" s="3">
        <v>29</v>
      </c>
      <c r="R64" s="3">
        <v>41</v>
      </c>
      <c r="S64" s="3">
        <v>34</v>
      </c>
      <c r="T64" s="3">
        <v>31</v>
      </c>
      <c r="U64" s="3">
        <v>32</v>
      </c>
      <c r="V64" s="3"/>
      <c r="W64" s="3">
        <f t="shared" si="30"/>
        <v>20</v>
      </c>
      <c r="X64" s="3"/>
      <c r="Y64" s="3"/>
      <c r="Z64" s="3"/>
      <c r="AA64" s="3"/>
      <c r="AB64" s="3"/>
      <c r="AC64" s="3" t="s">
        <v>176</v>
      </c>
      <c r="AD64" s="3"/>
      <c r="AE64" s="50">
        <f t="shared" si="31"/>
        <v>21.951709470885358</v>
      </c>
      <c r="AF64" s="12"/>
      <c r="AG64" s="12">
        <f t="shared" si="32"/>
        <v>0</v>
      </c>
      <c r="AH64" s="12">
        <f t="shared" si="33"/>
        <v>0</v>
      </c>
      <c r="AI64" s="12">
        <v>0.1</v>
      </c>
      <c r="AJ64" s="12">
        <f t="shared" si="34"/>
        <v>0.31622776601683794</v>
      </c>
      <c r="AK64" s="12">
        <f t="shared" si="35"/>
        <v>9.3537111307178193</v>
      </c>
      <c r="AL64" s="12"/>
      <c r="AM64" s="12">
        <f t="shared" si="36"/>
        <v>0</v>
      </c>
      <c r="AN64" s="12">
        <f t="shared" si="37"/>
        <v>0</v>
      </c>
      <c r="AO64" s="12"/>
      <c r="AP64" s="12">
        <f t="shared" si="38"/>
        <v>0</v>
      </c>
      <c r="AQ64" s="12">
        <f t="shared" si="39"/>
        <v>0</v>
      </c>
      <c r="AR64" s="12"/>
      <c r="AS64" s="12">
        <f t="shared" si="40"/>
        <v>0</v>
      </c>
      <c r="AT64" s="12">
        <f t="shared" si="41"/>
        <v>0</v>
      </c>
      <c r="AU64" s="12"/>
      <c r="AV64" s="12"/>
      <c r="AW64" s="12"/>
      <c r="AX64" s="12"/>
      <c r="AY64" s="12"/>
      <c r="AZ64" s="12"/>
      <c r="BA64" s="24">
        <v>14</v>
      </c>
      <c r="BB64" s="12">
        <f t="shared" si="42"/>
        <v>3.7416573867739413</v>
      </c>
      <c r="BC64" s="51">
        <f t="shared" si="43"/>
        <v>12.597998340167539</v>
      </c>
      <c r="BD64" s="22"/>
      <c r="BE64" s="20">
        <f t="shared" si="44"/>
        <v>0</v>
      </c>
      <c r="BF64" s="12">
        <f t="shared" si="45"/>
        <v>0</v>
      </c>
      <c r="BG64" s="12"/>
      <c r="BH64" s="12"/>
      <c r="BI64" s="12"/>
      <c r="BJ64" s="24"/>
      <c r="BK64" s="24"/>
      <c r="BL64" s="24">
        <v>8</v>
      </c>
      <c r="BM64" s="12">
        <f t="shared" si="46"/>
        <v>26.490066225165563</v>
      </c>
      <c r="BN64" s="45">
        <f t="shared" si="47"/>
        <v>-50</v>
      </c>
      <c r="BO64" s="27">
        <v>0</v>
      </c>
      <c r="BP64" s="27">
        <v>-50</v>
      </c>
      <c r="BQ64" s="27"/>
      <c r="BR64" s="27"/>
      <c r="BS64" s="27"/>
      <c r="BT64" s="3"/>
      <c r="BU64" s="1"/>
      <c r="BV64" s="1"/>
      <c r="BW64" s="1"/>
    </row>
    <row r="65" spans="1:96" s="6" customFormat="1" ht="20.100000000000001" customHeight="1" x14ac:dyDescent="0.25">
      <c r="A65" s="1"/>
      <c r="B65" s="1">
        <v>34</v>
      </c>
      <c r="C65" s="44">
        <v>59</v>
      </c>
      <c r="D65" s="1" t="str">
        <f t="shared" si="28"/>
        <v>▼25</v>
      </c>
      <c r="E65" s="2" t="s">
        <v>74</v>
      </c>
      <c r="F65" s="47">
        <f t="shared" si="29"/>
        <v>224.35610353541881</v>
      </c>
      <c r="G65" s="15">
        <f>IF(COUNTIF(H65:INDEX(H65:N65,$B$1),"&gt;0")=0,0,
(SUMIF(H65:INDEX(H65:N65,$B$1),"&gt;0",H65:INDEX(H65:N65,$B$1))*$B$1/COUNTIF(H65:INDEX(H65:N65,$B$1),"&gt;0"))*
IF($B$1-COUNTIF(H65:INDEX(H65:N65,$B$1),"&gt;0")&lt;=2,1,
IF($B$1-COUNTIF(H65:INDEX(H65:N65,$B$1),"&gt;0")=3,0.8,
IF($B$1-COUNTIF(H65:INDEX(H65:N65,$B$1),"&gt;0")=4,0.6,0))))</f>
        <v>176</v>
      </c>
      <c r="H65" s="3">
        <v>34</v>
      </c>
      <c r="I65" s="3">
        <v>42</v>
      </c>
      <c r="J65" s="3">
        <v>37</v>
      </c>
      <c r="K65" s="3">
        <v>33</v>
      </c>
      <c r="L65" s="3">
        <v>16</v>
      </c>
      <c r="M65" s="3">
        <v>14</v>
      </c>
      <c r="N65" s="3"/>
      <c r="O65" s="12">
        <f>0.2*IF(COUNTIF(P65:INDEX(P65:V65,$B$1),"&gt;0")=0,0,
(SUMIF(P65:INDEX(P65:V65,$B$1),"&gt;0",P65:INDEX(P65:V65,$B$1))*$B$1/COUNTIF(P65:INDEX(P65:V65,$B$1),"&gt;0"))*
IF($B$1-COUNTIF(P65:INDEX(P65:V65,$B$1),"&gt;0")&lt;=2,1,
IF($B$1-COUNTIF(P65:INDEX(P65:V65,$B$1),"&gt;0")=3,0.8,
IF($B$1-COUNTIF(P65:INDEX(P65:V65,$B$1),"&gt;0")=4,0.6,0))))</f>
        <v>27</v>
      </c>
      <c r="P65" s="3">
        <v>27</v>
      </c>
      <c r="Q65" s="3">
        <v>29</v>
      </c>
      <c r="R65" s="3">
        <v>23</v>
      </c>
      <c r="S65" s="3">
        <v>22</v>
      </c>
      <c r="T65" s="3">
        <v>9</v>
      </c>
      <c r="U65" s="3">
        <v>25</v>
      </c>
      <c r="V65" s="3"/>
      <c r="W65" s="3">
        <f t="shared" si="30"/>
        <v>20</v>
      </c>
      <c r="X65" s="3"/>
      <c r="Y65" s="3"/>
      <c r="Z65" s="3"/>
      <c r="AA65" s="3"/>
      <c r="AB65" s="3"/>
      <c r="AC65" s="3" t="s">
        <v>176</v>
      </c>
      <c r="AD65" s="3"/>
      <c r="AE65" s="50">
        <f t="shared" si="31"/>
        <v>0</v>
      </c>
      <c r="AF65" s="12"/>
      <c r="AG65" s="12">
        <f t="shared" si="32"/>
        <v>0</v>
      </c>
      <c r="AH65" s="12">
        <f t="shared" si="33"/>
        <v>0</v>
      </c>
      <c r="AI65" s="12"/>
      <c r="AJ65" s="12">
        <f t="shared" si="34"/>
        <v>0</v>
      </c>
      <c r="AK65" s="12">
        <f t="shared" si="35"/>
        <v>0</v>
      </c>
      <c r="AL65" s="12"/>
      <c r="AM65" s="12">
        <f t="shared" si="36"/>
        <v>0</v>
      </c>
      <c r="AN65" s="12">
        <f t="shared" si="37"/>
        <v>0</v>
      </c>
      <c r="AO65" s="12"/>
      <c r="AP65" s="12">
        <f t="shared" si="38"/>
        <v>0</v>
      </c>
      <c r="AQ65" s="12">
        <f t="shared" si="39"/>
        <v>0</v>
      </c>
      <c r="AR65" s="12"/>
      <c r="AS65" s="12">
        <f t="shared" si="40"/>
        <v>0</v>
      </c>
      <c r="AT65" s="12">
        <f t="shared" si="41"/>
        <v>0</v>
      </c>
      <c r="AU65" s="12"/>
      <c r="AV65" s="12"/>
      <c r="AW65" s="12"/>
      <c r="AX65" s="12"/>
      <c r="AY65" s="12"/>
      <c r="AZ65" s="12"/>
      <c r="BA65" s="24"/>
      <c r="BB65" s="12">
        <f t="shared" si="42"/>
        <v>0</v>
      </c>
      <c r="BC65" s="51">
        <f t="shared" si="43"/>
        <v>0</v>
      </c>
      <c r="BD65" s="22">
        <v>0.03</v>
      </c>
      <c r="BE65" s="20">
        <f t="shared" si="44"/>
        <v>0.17320508075688773</v>
      </c>
      <c r="BF65" s="12">
        <f t="shared" si="45"/>
        <v>51.356103535418832</v>
      </c>
      <c r="BG65" s="12"/>
      <c r="BH65" s="12"/>
      <c r="BI65" s="12"/>
      <c r="BJ65" s="24"/>
      <c r="BK65" s="24"/>
      <c r="BL65" s="24"/>
      <c r="BM65" s="12">
        <f t="shared" si="46"/>
        <v>0</v>
      </c>
      <c r="BN65" s="45">
        <f t="shared" si="47"/>
        <v>-50</v>
      </c>
      <c r="BO65" s="27">
        <v>0</v>
      </c>
      <c r="BP65" s="27">
        <v>-50</v>
      </c>
      <c r="BQ65" s="27"/>
      <c r="BR65" s="27"/>
      <c r="BS65" s="27"/>
      <c r="BT65" s="3"/>
      <c r="BU65" s="1"/>
      <c r="BV65" s="1"/>
      <c r="BW65" s="1"/>
    </row>
    <row r="66" spans="1:96" s="6" customFormat="1" ht="20.100000000000001" customHeight="1" x14ac:dyDescent="0.25">
      <c r="A66" s="1"/>
      <c r="B66" s="1">
        <v>70</v>
      </c>
      <c r="C66" s="44">
        <v>60</v>
      </c>
      <c r="D66" s="1" t="str">
        <f t="shared" si="28"/>
        <v>▲10</v>
      </c>
      <c r="E66" s="2" t="s">
        <v>90</v>
      </c>
      <c r="F66" s="47">
        <f t="shared" si="29"/>
        <v>213.30092040140869</v>
      </c>
      <c r="G66" s="15">
        <f>IF(COUNTIF(H66:INDEX(H66:N66,$B$1),"&gt;0")=0,0,
(SUMIF(H66:INDEX(H66:N66,$B$1),"&gt;0",H66:INDEX(H66:N66,$B$1))*$B$1/COUNTIF(H66:INDEX(H66:N66,$B$1),"&gt;0"))*
IF($B$1-COUNTIF(H66:INDEX(H66:N66,$B$1),"&gt;0")&lt;=2,1,
IF($B$1-COUNTIF(H66:INDEX(H66:N66,$B$1),"&gt;0")=3,0.8,
IF($B$1-COUNTIF(H66:INDEX(H66:N66,$B$1),"&gt;0")=4,0.6,0))))</f>
        <v>91</v>
      </c>
      <c r="H66" s="3">
        <v>21</v>
      </c>
      <c r="I66" s="3">
        <v>18</v>
      </c>
      <c r="J66" s="3">
        <v>16</v>
      </c>
      <c r="K66" s="3">
        <v>13</v>
      </c>
      <c r="L66" s="3">
        <v>12</v>
      </c>
      <c r="M66" s="3">
        <v>11</v>
      </c>
      <c r="N66" s="3"/>
      <c r="O66" s="12">
        <f>0.2*IF(COUNTIF(P66:INDEX(P66:V66,$B$1),"&gt;0")=0,0,
(SUMIF(P66:INDEX(P66:V66,$B$1),"&gt;0",P66:INDEX(P66:V66,$B$1))*$B$1/COUNTIF(P66:INDEX(P66:V66,$B$1),"&gt;0"))*
IF($B$1-COUNTIF(P66:INDEX(P66:V66,$B$1),"&gt;0")&lt;=2,1,
IF($B$1-COUNTIF(P66:INDEX(P66:V66,$B$1),"&gt;0")=3,0.8,
IF($B$1-COUNTIF(P66:INDEX(P66:V66,$B$1),"&gt;0")=4,0.6,0))))</f>
        <v>43</v>
      </c>
      <c r="P66" s="3">
        <v>42</v>
      </c>
      <c r="Q66" s="3">
        <v>28</v>
      </c>
      <c r="R66" s="3">
        <v>37</v>
      </c>
      <c r="S66" s="3">
        <v>38</v>
      </c>
      <c r="T66" s="3">
        <v>36</v>
      </c>
      <c r="U66" s="3">
        <v>34</v>
      </c>
      <c r="V66" s="3"/>
      <c r="W66" s="3">
        <f t="shared" si="30"/>
        <v>20</v>
      </c>
      <c r="X66" s="3"/>
      <c r="Y66" s="3"/>
      <c r="Z66" s="3"/>
      <c r="AA66" s="3"/>
      <c r="AB66" s="3"/>
      <c r="AC66" s="3" t="s">
        <v>176</v>
      </c>
      <c r="AD66" s="3"/>
      <c r="AE66" s="50">
        <f t="shared" si="31"/>
        <v>0</v>
      </c>
      <c r="AF66" s="12"/>
      <c r="AG66" s="12">
        <f t="shared" si="32"/>
        <v>0</v>
      </c>
      <c r="AH66" s="12">
        <f t="shared" si="33"/>
        <v>0</v>
      </c>
      <c r="AI66" s="12"/>
      <c r="AJ66" s="12">
        <f t="shared" si="34"/>
        <v>0</v>
      </c>
      <c r="AK66" s="12">
        <f t="shared" si="35"/>
        <v>0</v>
      </c>
      <c r="AL66" s="12"/>
      <c r="AM66" s="12">
        <f t="shared" si="36"/>
        <v>0</v>
      </c>
      <c r="AN66" s="12">
        <f t="shared" si="37"/>
        <v>0</v>
      </c>
      <c r="AO66" s="12"/>
      <c r="AP66" s="12">
        <f t="shared" si="38"/>
        <v>0</v>
      </c>
      <c r="AQ66" s="12">
        <f t="shared" si="39"/>
        <v>0</v>
      </c>
      <c r="AR66" s="12"/>
      <c r="AS66" s="12">
        <f t="shared" si="40"/>
        <v>0</v>
      </c>
      <c r="AT66" s="12">
        <f t="shared" si="41"/>
        <v>0</v>
      </c>
      <c r="AU66" s="12"/>
      <c r="AV66" s="12"/>
      <c r="AW66" s="12"/>
      <c r="AX66" s="12"/>
      <c r="AY66" s="12"/>
      <c r="AZ66" s="12"/>
      <c r="BA66" s="24"/>
      <c r="BB66" s="12">
        <f t="shared" si="42"/>
        <v>0</v>
      </c>
      <c r="BC66" s="51">
        <f t="shared" si="43"/>
        <v>0</v>
      </c>
      <c r="BD66" s="22">
        <v>0.04</v>
      </c>
      <c r="BE66" s="20">
        <f t="shared" si="44"/>
        <v>0.2</v>
      </c>
      <c r="BF66" s="12">
        <f t="shared" si="45"/>
        <v>59.300920401408703</v>
      </c>
      <c r="BG66" s="12"/>
      <c r="BH66" s="12"/>
      <c r="BI66" s="12"/>
      <c r="BJ66" s="24"/>
      <c r="BK66" s="24"/>
      <c r="BL66" s="24"/>
      <c r="BM66" s="12">
        <f t="shared" si="46"/>
        <v>0</v>
      </c>
      <c r="BN66" s="45">
        <f t="shared" si="47"/>
        <v>0</v>
      </c>
      <c r="BO66" s="27">
        <v>0</v>
      </c>
      <c r="BP66" s="27">
        <v>0</v>
      </c>
      <c r="BQ66" s="27"/>
      <c r="BR66" s="27"/>
      <c r="BS66" s="27"/>
      <c r="BT66" s="3"/>
      <c r="BU66" s="1"/>
      <c r="BV66" s="1"/>
      <c r="BW66" s="1"/>
    </row>
    <row r="67" spans="1:96" s="6" customFormat="1" ht="20.100000000000001" customHeight="1" x14ac:dyDescent="0.25">
      <c r="A67" s="1"/>
      <c r="B67" s="1">
        <v>77</v>
      </c>
      <c r="C67" s="44">
        <v>61</v>
      </c>
      <c r="D67" s="1" t="str">
        <f t="shared" si="28"/>
        <v>▲16</v>
      </c>
      <c r="E67" s="2" t="s">
        <v>99</v>
      </c>
      <c r="F67" s="47">
        <f t="shared" si="29"/>
        <v>189.19542417102522</v>
      </c>
      <c r="G67" s="15">
        <f>IF(COUNTIF(H67:INDEX(H67:N67,$B$1),"&gt;0")=0,0,
(SUMIF(H67:INDEX(H67:N67,$B$1),"&gt;0",H67:INDEX(H67:N67,$B$1))*$B$1/COUNTIF(H67:INDEX(H67:N67,$B$1),"&gt;0"))*
IF($B$1-COUNTIF(H67:INDEX(H67:N67,$B$1),"&gt;0")&lt;=2,1,
IF($B$1-COUNTIF(H67:INDEX(H67:N67,$B$1),"&gt;0")=3,0.8,
IF($B$1-COUNTIF(H67:INDEX(H67:N67,$B$1),"&gt;0")=4,0.6,0))))</f>
        <v>70.5</v>
      </c>
      <c r="H67" s="3">
        <v>-1</v>
      </c>
      <c r="I67" s="3">
        <v>-1</v>
      </c>
      <c r="J67" s="3">
        <v>3</v>
      </c>
      <c r="K67" s="3">
        <v>14</v>
      </c>
      <c r="L67" s="3">
        <v>29</v>
      </c>
      <c r="M67" s="3">
        <v>1</v>
      </c>
      <c r="N67" s="3"/>
      <c r="O67" s="12">
        <f>0.2*IF(COUNTIF(P67:INDEX(P67:V67,$B$1),"&gt;0")=0,0,
(SUMIF(P67:INDEX(P67:V67,$B$1),"&gt;0",P67:INDEX(P67:V67,$B$1))*$B$1/COUNTIF(P67:INDEX(P67:V67,$B$1),"&gt;0"))*
IF($B$1-COUNTIF(P67:INDEX(P67:V67,$B$1),"&gt;0")&lt;=2,1,
IF($B$1-COUNTIF(P67:INDEX(P67:V67,$B$1),"&gt;0")=3,0.8,
IF($B$1-COUNTIF(P67:INDEX(P67:V67,$B$1),"&gt;0")=4,0.6,0))))</f>
        <v>11.520000000000001</v>
      </c>
      <c r="P67" s="3">
        <v>-1</v>
      </c>
      <c r="Q67" s="3">
        <v>-1</v>
      </c>
      <c r="R67" s="3">
        <v>3</v>
      </c>
      <c r="S67" s="3">
        <v>-2</v>
      </c>
      <c r="T67" s="3">
        <v>16</v>
      </c>
      <c r="U67" s="3">
        <v>17</v>
      </c>
      <c r="V67" s="3"/>
      <c r="W67" s="3">
        <f t="shared" si="30"/>
        <v>20</v>
      </c>
      <c r="X67" s="3"/>
      <c r="Y67" s="3"/>
      <c r="Z67" s="3"/>
      <c r="AA67" s="3"/>
      <c r="AB67" s="3"/>
      <c r="AC67" s="3" t="s">
        <v>176</v>
      </c>
      <c r="AD67" s="3"/>
      <c r="AE67" s="50">
        <f t="shared" si="31"/>
        <v>0</v>
      </c>
      <c r="AF67" s="12"/>
      <c r="AG67" s="12">
        <f t="shared" si="32"/>
        <v>0</v>
      </c>
      <c r="AH67" s="12">
        <f t="shared" si="33"/>
        <v>0</v>
      </c>
      <c r="AI67" s="12"/>
      <c r="AJ67" s="12">
        <f t="shared" si="34"/>
        <v>0</v>
      </c>
      <c r="AK67" s="12">
        <f t="shared" si="35"/>
        <v>0</v>
      </c>
      <c r="AL67" s="12"/>
      <c r="AM67" s="12">
        <f t="shared" si="36"/>
        <v>0</v>
      </c>
      <c r="AN67" s="12">
        <f t="shared" si="37"/>
        <v>0</v>
      </c>
      <c r="AO67" s="12"/>
      <c r="AP67" s="12">
        <f t="shared" si="38"/>
        <v>0</v>
      </c>
      <c r="AQ67" s="12">
        <f t="shared" si="39"/>
        <v>0</v>
      </c>
      <c r="AR67" s="12"/>
      <c r="AS67" s="12">
        <f t="shared" si="40"/>
        <v>0</v>
      </c>
      <c r="AT67" s="12">
        <f t="shared" si="41"/>
        <v>0</v>
      </c>
      <c r="AU67" s="12"/>
      <c r="AV67" s="12"/>
      <c r="AW67" s="12"/>
      <c r="AX67" s="12"/>
      <c r="AY67" s="12"/>
      <c r="AZ67" s="12"/>
      <c r="BA67" s="24"/>
      <c r="BB67" s="12">
        <f t="shared" si="42"/>
        <v>0</v>
      </c>
      <c r="BC67" s="51">
        <f t="shared" si="43"/>
        <v>0</v>
      </c>
      <c r="BD67" s="22">
        <v>0.08</v>
      </c>
      <c r="BE67" s="20">
        <f t="shared" si="44"/>
        <v>0.28284271247461901</v>
      </c>
      <c r="BF67" s="12">
        <f t="shared" si="45"/>
        <v>83.864165892879541</v>
      </c>
      <c r="BG67" s="12"/>
      <c r="BH67" s="12"/>
      <c r="BI67" s="12"/>
      <c r="BJ67" s="24"/>
      <c r="BK67" s="24"/>
      <c r="BL67" s="24">
        <v>1</v>
      </c>
      <c r="BM67" s="12">
        <f t="shared" si="46"/>
        <v>3.3112582781456954</v>
      </c>
      <c r="BN67" s="45">
        <f t="shared" si="47"/>
        <v>0</v>
      </c>
      <c r="BO67" s="27">
        <v>0</v>
      </c>
      <c r="BP67" s="27">
        <v>0</v>
      </c>
      <c r="BQ67" s="27"/>
      <c r="BR67" s="27"/>
      <c r="BS67" s="27"/>
      <c r="BT67" s="3"/>
      <c r="BU67" s="1"/>
      <c r="BV67" s="1"/>
      <c r="BW67" s="1"/>
    </row>
    <row r="68" spans="1:96" s="6" customFormat="1" ht="20.100000000000001" customHeight="1" x14ac:dyDescent="0.25">
      <c r="A68" s="1"/>
      <c r="B68" s="1">
        <v>79</v>
      </c>
      <c r="C68" s="44">
        <v>62</v>
      </c>
      <c r="D68" s="1" t="str">
        <f t="shared" si="28"/>
        <v>▲17</v>
      </c>
      <c r="E68" s="2" t="s">
        <v>76</v>
      </c>
      <c r="F68" s="47">
        <f t="shared" si="29"/>
        <v>187.05046020070435</v>
      </c>
      <c r="G68" s="15">
        <f>IF(COUNTIF(H68:INDEX(H68:N68,$B$1),"&gt;0")=0,0,
(SUMIF(H68:INDEX(H68:N68,$B$1),"&gt;0",H68:INDEX(H68:N68,$B$1))*$B$1/COUNTIF(H68:INDEX(H68:N68,$B$1),"&gt;0"))*
IF($B$1-COUNTIF(H68:INDEX(H68:N68,$B$1),"&gt;0")&lt;=2,1,
IF($B$1-COUNTIF(H68:INDEX(H68:N68,$B$1),"&gt;0")=3,0.8,
IF($B$1-COUNTIF(H68:INDEX(H68:N68,$B$1),"&gt;0")=4,0.6,0))))</f>
        <v>141</v>
      </c>
      <c r="H68" s="3">
        <v>37</v>
      </c>
      <c r="I68" s="3">
        <v>21</v>
      </c>
      <c r="J68" s="3">
        <v>27</v>
      </c>
      <c r="K68" s="3">
        <v>19</v>
      </c>
      <c r="L68" s="3">
        <v>19</v>
      </c>
      <c r="M68" s="3">
        <v>18</v>
      </c>
      <c r="N68" s="3"/>
      <c r="O68" s="12">
        <f>0.2*IF(COUNTIF(P68:INDEX(P68:V68,$B$1),"&gt;0")=0,0,
(SUMIF(P68:INDEX(P68:V68,$B$1),"&gt;0",P68:INDEX(P68:V68,$B$1))*$B$1/COUNTIF(P68:INDEX(P68:V68,$B$1),"&gt;0"))*
IF($B$1-COUNTIF(P68:INDEX(P68:V68,$B$1),"&gt;0")&lt;=2,1,
IF($B$1-COUNTIF(P68:INDEX(P68:V68,$B$1),"&gt;0")=3,0.8,
IF($B$1-COUNTIF(P68:INDEX(P68:V68,$B$1),"&gt;0")=4,0.6,0))))</f>
        <v>46.400000000000006</v>
      </c>
      <c r="P68" s="3">
        <v>41</v>
      </c>
      <c r="Q68" s="3">
        <v>35</v>
      </c>
      <c r="R68" s="3">
        <v>39</v>
      </c>
      <c r="S68" s="3">
        <v>47</v>
      </c>
      <c r="T68" s="3">
        <v>39</v>
      </c>
      <c r="U68" s="3">
        <v>31</v>
      </c>
      <c r="V68" s="3"/>
      <c r="W68" s="3">
        <f t="shared" si="30"/>
        <v>20</v>
      </c>
      <c r="X68" s="3"/>
      <c r="Y68" s="3"/>
      <c r="Z68" s="3"/>
      <c r="AA68" s="3"/>
      <c r="AB68" s="3"/>
      <c r="AC68" s="3" t="s">
        <v>176</v>
      </c>
      <c r="AD68" s="3"/>
      <c r="AE68" s="50">
        <f t="shared" si="31"/>
        <v>0</v>
      </c>
      <c r="AF68" s="12"/>
      <c r="AG68" s="12">
        <f t="shared" si="32"/>
        <v>0</v>
      </c>
      <c r="AH68" s="12">
        <f t="shared" si="33"/>
        <v>0</v>
      </c>
      <c r="AI68" s="12"/>
      <c r="AJ68" s="12">
        <f t="shared" si="34"/>
        <v>0</v>
      </c>
      <c r="AK68" s="12">
        <f t="shared" si="35"/>
        <v>0</v>
      </c>
      <c r="AL68" s="12"/>
      <c r="AM68" s="12">
        <f t="shared" si="36"/>
        <v>0</v>
      </c>
      <c r="AN68" s="12">
        <f t="shared" si="37"/>
        <v>0</v>
      </c>
      <c r="AO68" s="12"/>
      <c r="AP68" s="12">
        <f t="shared" si="38"/>
        <v>0</v>
      </c>
      <c r="AQ68" s="12">
        <f t="shared" si="39"/>
        <v>0</v>
      </c>
      <c r="AR68" s="12"/>
      <c r="AS68" s="12">
        <f t="shared" si="40"/>
        <v>0</v>
      </c>
      <c r="AT68" s="12">
        <f t="shared" si="41"/>
        <v>0</v>
      </c>
      <c r="AU68" s="12"/>
      <c r="AV68" s="12"/>
      <c r="AW68" s="12"/>
      <c r="AX68" s="12"/>
      <c r="AY68" s="12"/>
      <c r="AZ68" s="12"/>
      <c r="BA68" s="24"/>
      <c r="BB68" s="12">
        <f t="shared" si="42"/>
        <v>0</v>
      </c>
      <c r="BC68" s="51">
        <f t="shared" si="43"/>
        <v>0</v>
      </c>
      <c r="BD68" s="22">
        <v>0.01</v>
      </c>
      <c r="BE68" s="20">
        <f t="shared" si="44"/>
        <v>0.1</v>
      </c>
      <c r="BF68" s="12">
        <f t="shared" si="45"/>
        <v>29.650460200704352</v>
      </c>
      <c r="BG68" s="12"/>
      <c r="BH68" s="12"/>
      <c r="BI68" s="12"/>
      <c r="BJ68" s="24"/>
      <c r="BK68" s="24"/>
      <c r="BL68" s="24"/>
      <c r="BM68" s="12">
        <f t="shared" si="46"/>
        <v>0</v>
      </c>
      <c r="BN68" s="45">
        <f t="shared" si="47"/>
        <v>-50</v>
      </c>
      <c r="BO68" s="27">
        <v>0</v>
      </c>
      <c r="BP68" s="27">
        <v>-50</v>
      </c>
      <c r="BQ68" s="27"/>
      <c r="BR68" s="27"/>
      <c r="BS68" s="27"/>
      <c r="BT68" s="3"/>
      <c r="BU68" s="1"/>
      <c r="BV68" s="1"/>
      <c r="BW68" s="1"/>
    </row>
    <row r="69" spans="1:96" s="6" customFormat="1" ht="20.100000000000001" customHeight="1" x14ac:dyDescent="0.25">
      <c r="A69" s="1"/>
      <c r="B69" s="1">
        <v>75</v>
      </c>
      <c r="C69" s="44">
        <v>63</v>
      </c>
      <c r="D69" s="1" t="str">
        <f t="shared" si="28"/>
        <v>▲12</v>
      </c>
      <c r="E69" s="2" t="s">
        <v>118</v>
      </c>
      <c r="F69" s="47">
        <f t="shared" si="29"/>
        <v>174.27557068785597</v>
      </c>
      <c r="G69" s="15">
        <f>IF(COUNTIF(H69:INDEX(H69:N69,$B$1),"&gt;0")=0,0,
(SUMIF(H69:INDEX(H69:N69,$B$1),"&gt;0",H69:INDEX(H69:N69,$B$1))*$B$1/COUNTIF(H69:INDEX(H69:N69,$B$1),"&gt;0"))*
IF($B$1-COUNTIF(H69:INDEX(H69:N69,$B$1),"&gt;0")&lt;=2,1,
IF($B$1-COUNTIF(H69:INDEX(H69:N69,$B$1),"&gt;0")=3,0.8,
IF($B$1-COUNTIF(H69:INDEX(H69:N69,$B$1),"&gt;0")=4,0.6,0))))</f>
        <v>179</v>
      </c>
      <c r="H69" s="3">
        <v>27</v>
      </c>
      <c r="I69" s="3">
        <v>28</v>
      </c>
      <c r="J69" s="3">
        <v>30</v>
      </c>
      <c r="K69" s="3">
        <v>37</v>
      </c>
      <c r="L69" s="3">
        <v>29</v>
      </c>
      <c r="M69" s="3">
        <v>28</v>
      </c>
      <c r="N69" s="3"/>
      <c r="O69" s="12">
        <f>0.2*IF(COUNTIF(P69:INDEX(P69:V69,$B$1),"&gt;0")=0,0,
(SUMIF(P69:INDEX(P69:V69,$B$1),"&gt;0",P69:INDEX(P69:V69,$B$1))*$B$1/COUNTIF(P69:INDEX(P69:V69,$B$1),"&gt;0"))*
IF($B$1-COUNTIF(P69:INDEX(P69:V69,$B$1),"&gt;0")&lt;=2,1,
IF($B$1-COUNTIF(P69:INDEX(P69:V69,$B$1),"&gt;0")=3,0.8,
IF($B$1-COUNTIF(P69:INDEX(P69:V69,$B$1),"&gt;0")=4,0.6,0))))</f>
        <v>48.400000000000006</v>
      </c>
      <c r="P69" s="3">
        <v>43</v>
      </c>
      <c r="Q69" s="3">
        <v>41</v>
      </c>
      <c r="R69" s="3">
        <v>41</v>
      </c>
      <c r="S69" s="3">
        <v>40</v>
      </c>
      <c r="T69" s="3">
        <v>40</v>
      </c>
      <c r="U69" s="3">
        <v>37</v>
      </c>
      <c r="V69" s="3"/>
      <c r="W69" s="3">
        <f t="shared" si="30"/>
        <v>20</v>
      </c>
      <c r="X69" s="3"/>
      <c r="Y69" s="3"/>
      <c r="Z69" s="3"/>
      <c r="AA69" s="3"/>
      <c r="AB69" s="3"/>
      <c r="AC69" s="3" t="s">
        <v>176</v>
      </c>
      <c r="AD69" s="3"/>
      <c r="AE69" s="50">
        <f t="shared" si="31"/>
        <v>0</v>
      </c>
      <c r="AF69" s="12"/>
      <c r="AG69" s="12">
        <f t="shared" si="32"/>
        <v>0</v>
      </c>
      <c r="AH69" s="12">
        <f t="shared" si="33"/>
        <v>0</v>
      </c>
      <c r="AI69" s="12"/>
      <c r="AJ69" s="12">
        <f t="shared" si="34"/>
        <v>0</v>
      </c>
      <c r="AK69" s="12">
        <f t="shared" si="35"/>
        <v>0</v>
      </c>
      <c r="AL69" s="12"/>
      <c r="AM69" s="12">
        <f t="shared" si="36"/>
        <v>0</v>
      </c>
      <c r="AN69" s="12">
        <f t="shared" si="37"/>
        <v>0</v>
      </c>
      <c r="AO69" s="12"/>
      <c r="AP69" s="12">
        <f t="shared" si="38"/>
        <v>0</v>
      </c>
      <c r="AQ69" s="12">
        <f t="shared" si="39"/>
        <v>0</v>
      </c>
      <c r="AR69" s="12"/>
      <c r="AS69" s="12">
        <f t="shared" si="40"/>
        <v>0</v>
      </c>
      <c r="AT69" s="12">
        <f t="shared" si="41"/>
        <v>0</v>
      </c>
      <c r="AU69" s="12"/>
      <c r="AV69" s="12"/>
      <c r="AW69" s="12"/>
      <c r="AX69" s="12"/>
      <c r="AY69" s="12"/>
      <c r="AZ69" s="12"/>
      <c r="BA69" s="24"/>
      <c r="BB69" s="12">
        <f t="shared" si="42"/>
        <v>0</v>
      </c>
      <c r="BC69" s="51">
        <f t="shared" si="43"/>
        <v>0</v>
      </c>
      <c r="BD69" s="22">
        <v>0.1</v>
      </c>
      <c r="BE69" s="20">
        <f t="shared" si="44"/>
        <v>0.31622776601683794</v>
      </c>
      <c r="BF69" s="12">
        <f t="shared" si="45"/>
        <v>93.762987906399005</v>
      </c>
      <c r="BG69" s="12"/>
      <c r="BH69" s="12"/>
      <c r="BI69" s="12"/>
      <c r="BJ69" s="24"/>
      <c r="BK69" s="24"/>
      <c r="BL69" s="24">
        <v>10</v>
      </c>
      <c r="BM69" s="12">
        <f t="shared" si="46"/>
        <v>33.112582781456958</v>
      </c>
      <c r="BN69" s="45">
        <f t="shared" si="47"/>
        <v>-200</v>
      </c>
      <c r="BO69" s="27">
        <v>0</v>
      </c>
      <c r="BP69" s="27">
        <v>-200</v>
      </c>
      <c r="BQ69" s="27"/>
      <c r="BR69" s="27"/>
      <c r="BS69" s="27"/>
      <c r="BT69" s="3"/>
      <c r="BU69" s="1"/>
      <c r="BV69" s="1"/>
      <c r="BW69" s="1"/>
    </row>
    <row r="70" spans="1:96" s="6" customFormat="1" ht="20.100000000000001" customHeight="1" x14ac:dyDescent="0.25">
      <c r="A70" s="1"/>
      <c r="B70" s="1">
        <v>58</v>
      </c>
      <c r="C70" s="44">
        <v>64</v>
      </c>
      <c r="D70" s="1" t="str">
        <f t="shared" ref="D70:D101" si="48">IF(C70&lt;B70,"▲"&amp;B70-C70,IF(C70&gt;B70,"▼"&amp;C70-B70,"—"))</f>
        <v>▼6</v>
      </c>
      <c r="E70" s="2" t="s">
        <v>45</v>
      </c>
      <c r="F70" s="47">
        <f t="shared" si="29"/>
        <v>171.66882484644634</v>
      </c>
      <c r="G70" s="15">
        <f>IF(COUNTIF(H70:INDEX(H70:N70,$B$1),"&gt;0")=0,0,
(SUMIF(H70:INDEX(H70:N70,$B$1),"&gt;0",H70:INDEX(H70:N70,$B$1))*$B$1/COUNTIF(H70:INDEX(H70:N70,$B$1),"&gt;0"))*
IF($B$1-COUNTIF(H70:INDEX(H70:N70,$B$1),"&gt;0")&lt;=2,1,
IF($B$1-COUNTIF(H70:INDEX(H70:N70,$B$1),"&gt;0")=3,0.8,
IF($B$1-COUNTIF(H70:INDEX(H70:N70,$B$1),"&gt;0")=4,0.6,0))))</f>
        <v>356</v>
      </c>
      <c r="H70" s="3">
        <v>35</v>
      </c>
      <c r="I70" s="3">
        <v>81</v>
      </c>
      <c r="J70" s="3">
        <v>72</v>
      </c>
      <c r="K70" s="3">
        <v>93</v>
      </c>
      <c r="L70" s="3">
        <v>35</v>
      </c>
      <c r="M70" s="3">
        <v>40</v>
      </c>
      <c r="N70" s="3"/>
      <c r="O70" s="12">
        <f>0.2*IF(COUNTIF(P70:INDEX(P70:V70,$B$1),"&gt;0")=0,0,
(SUMIF(P70:INDEX(P70:V70,$B$1),"&gt;0",P70:INDEX(P70:V70,$B$1))*$B$1/COUNTIF(P70:INDEX(P70:V70,$B$1),"&gt;0"))*
IF($B$1-COUNTIF(P70:INDEX(P70:V70,$B$1),"&gt;0")&lt;=2,1,
IF($B$1-COUNTIF(P70:INDEX(P70:V70,$B$1),"&gt;0")=3,0.8,
IF($B$1-COUNTIF(P70:INDEX(P70:V70,$B$1),"&gt;0")=4,0.6,0))))</f>
        <v>64.400000000000006</v>
      </c>
      <c r="P70" s="3">
        <v>61</v>
      </c>
      <c r="Q70" s="3">
        <v>45</v>
      </c>
      <c r="R70" s="3">
        <v>55</v>
      </c>
      <c r="S70" s="3">
        <v>59</v>
      </c>
      <c r="T70" s="3">
        <v>53</v>
      </c>
      <c r="U70" s="3">
        <v>49</v>
      </c>
      <c r="V70" s="3"/>
      <c r="W70" s="3">
        <f t="shared" si="30"/>
        <v>20</v>
      </c>
      <c r="X70" s="3"/>
      <c r="Y70" s="3"/>
      <c r="Z70" s="3"/>
      <c r="AA70" s="3"/>
      <c r="AB70" s="3"/>
      <c r="AC70" s="3" t="s">
        <v>176</v>
      </c>
      <c r="AD70" s="3"/>
      <c r="AE70" s="50">
        <f t="shared" si="31"/>
        <v>6.7339133640076758</v>
      </c>
      <c r="AF70" s="12"/>
      <c r="AG70" s="12">
        <f t="shared" si="32"/>
        <v>0</v>
      </c>
      <c r="AH70" s="12">
        <f t="shared" si="33"/>
        <v>0</v>
      </c>
      <c r="AI70" s="12"/>
      <c r="AJ70" s="12">
        <f t="shared" si="34"/>
        <v>0</v>
      </c>
      <c r="AK70" s="12">
        <f t="shared" si="35"/>
        <v>0</v>
      </c>
      <c r="AL70" s="12"/>
      <c r="AM70" s="12">
        <f t="shared" si="36"/>
        <v>0</v>
      </c>
      <c r="AN70" s="12">
        <f t="shared" si="37"/>
        <v>0</v>
      </c>
      <c r="AO70" s="12"/>
      <c r="AP70" s="12">
        <f t="shared" si="38"/>
        <v>0</v>
      </c>
      <c r="AQ70" s="12">
        <f t="shared" si="39"/>
        <v>0</v>
      </c>
      <c r="AR70" s="12"/>
      <c r="AS70" s="12">
        <f t="shared" si="40"/>
        <v>0</v>
      </c>
      <c r="AT70" s="12">
        <f t="shared" si="41"/>
        <v>0</v>
      </c>
      <c r="AU70" s="12"/>
      <c r="AV70" s="12"/>
      <c r="AW70" s="12"/>
      <c r="AX70" s="12"/>
      <c r="AY70" s="12"/>
      <c r="AZ70" s="12"/>
      <c r="BA70" s="24">
        <v>4</v>
      </c>
      <c r="BB70" s="12">
        <f t="shared" si="42"/>
        <v>2</v>
      </c>
      <c r="BC70" s="51">
        <f t="shared" si="43"/>
        <v>6.7339133640076758</v>
      </c>
      <c r="BD70" s="22">
        <v>0.03</v>
      </c>
      <c r="BE70" s="20">
        <f t="shared" si="44"/>
        <v>0.17320508075688773</v>
      </c>
      <c r="BF70" s="12">
        <f t="shared" si="45"/>
        <v>51.356103535418832</v>
      </c>
      <c r="BG70" s="12"/>
      <c r="BH70" s="12"/>
      <c r="BI70" s="12"/>
      <c r="BJ70" s="24"/>
      <c r="BK70" s="24"/>
      <c r="BL70" s="24">
        <v>7</v>
      </c>
      <c r="BM70" s="12">
        <f t="shared" si="46"/>
        <v>23.17880794701987</v>
      </c>
      <c r="BN70" s="45">
        <f t="shared" si="47"/>
        <v>-350</v>
      </c>
      <c r="BO70" s="27">
        <v>-300</v>
      </c>
      <c r="BP70" s="27">
        <v>-50</v>
      </c>
      <c r="BQ70" s="27"/>
      <c r="BR70" s="27"/>
      <c r="BS70" s="27"/>
      <c r="BT70" s="3"/>
      <c r="BU70" s="1"/>
      <c r="BV70" s="1"/>
      <c r="BW70" s="1"/>
    </row>
    <row r="71" spans="1:96" s="6" customFormat="1" ht="20.100000000000001" customHeight="1" x14ac:dyDescent="0.25">
      <c r="A71" s="1"/>
      <c r="B71" s="1">
        <v>36</v>
      </c>
      <c r="C71" s="44">
        <v>65</v>
      </c>
      <c r="D71" s="1" t="str">
        <f t="shared" si="48"/>
        <v>▼29</v>
      </c>
      <c r="E71" s="2" t="s">
        <v>92</v>
      </c>
      <c r="F71" s="47">
        <f t="shared" ref="F71:F102" si="49">G71+O71+W71+AE71+BF71+BM71+BN71</f>
        <v>154.61217867955438</v>
      </c>
      <c r="G71" s="15">
        <f>IF(COUNTIF(H71:INDEX(H71:N71,$B$1),"&gt;0")=0,0,
(SUMIF(H71:INDEX(H71:N71,$B$1),"&gt;0",H71:INDEX(H71:N71,$B$1))*$B$1/COUNTIF(H71:INDEX(H71:N71,$B$1),"&gt;0"))*
IF($B$1-COUNTIF(H71:INDEX(H71:N71,$B$1),"&gt;0")&lt;=2,1,
IF($B$1-COUNTIF(H71:INDEX(H71:N71,$B$1),"&gt;0")=3,0.8,
IF($B$1-COUNTIF(H71:INDEX(H71:N71,$B$1),"&gt;0")=4,0.6,0))))</f>
        <v>72</v>
      </c>
      <c r="H71" s="3">
        <v>10</v>
      </c>
      <c r="I71" s="3">
        <v>11</v>
      </c>
      <c r="J71" s="3">
        <v>15</v>
      </c>
      <c r="K71" s="3">
        <v>17</v>
      </c>
      <c r="L71" s="3">
        <v>13</v>
      </c>
      <c r="M71" s="3">
        <v>6</v>
      </c>
      <c r="N71" s="3"/>
      <c r="O71" s="12">
        <f>0.2*IF(COUNTIF(P71:INDEX(P71:V71,$B$1),"&gt;0")=0,0,
(SUMIF(P71:INDEX(P71:V71,$B$1),"&gt;0",P71:INDEX(P71:V71,$B$1))*$B$1/COUNTIF(P71:INDEX(P71:V71,$B$1),"&gt;0"))*
IF($B$1-COUNTIF(P71:INDEX(P71:V71,$B$1),"&gt;0")&lt;=2,1,
IF($B$1-COUNTIF(P71:INDEX(P71:V71,$B$1),"&gt;0")=3,0.8,
IF($B$1-COUNTIF(P71:INDEX(P71:V71,$B$1),"&gt;0")=4,0.6,0))))</f>
        <v>50</v>
      </c>
      <c r="P71" s="3">
        <v>48</v>
      </c>
      <c r="Q71" s="3">
        <v>35</v>
      </c>
      <c r="R71" s="3">
        <v>40</v>
      </c>
      <c r="S71" s="3">
        <v>37</v>
      </c>
      <c r="T71" s="3">
        <v>52</v>
      </c>
      <c r="U71" s="3">
        <v>38</v>
      </c>
      <c r="V71" s="3"/>
      <c r="W71" s="3">
        <f t="shared" ref="W71:W102" si="50">MIN(100,
IF($B$1&gt;=1,IFERROR(VALUE(SUBSTITUTE(SUBSTITUTE(TRIM(X71),"A",""),"B","")),0),0)+
IF($B$1&gt;=2,IFERROR(VALUE(SUBSTITUTE(SUBSTITUTE(TRIM(Y71),"A",""),"B","")),0),0)+
IF($B$1&gt;=3,IFERROR(VALUE(SUBSTITUTE(SUBSTITUTE(TRIM(Z71),"A",""),"B","")),0),0)+
IF($B$1&gt;=4,IFERROR(VALUE(SUBSTITUTE(SUBSTITUTE(TRIM(AA71),"A",""),"B","")),0),0)+
IF($B$1&gt;=5,IFERROR(VALUE(SUBSTITUTE(SUBSTITUTE(TRIM(AB71),"A",""),"B","")),0),0)+
IF($B$1&gt;=6,IFERROR(VALUE(SUBSTITUTE(SUBSTITUTE(TRIM(AC71),"A",""),"B","")),0),0)+
IF($B$1&gt;=7,IFERROR(VALUE(SUBSTITUTE(SUBSTITUTE(TRIM(AD71),"A",""),"B","")),0),0)
)</f>
        <v>20</v>
      </c>
      <c r="X71" s="3"/>
      <c r="Y71" s="3"/>
      <c r="Z71" s="3"/>
      <c r="AA71" s="3"/>
      <c r="AB71" s="3"/>
      <c r="AC71" s="3" t="s">
        <v>176</v>
      </c>
      <c r="AD71" s="3"/>
      <c r="AE71" s="50">
        <f t="shared" ref="AE71:AE97" si="51">AH71+AK71+AN71+AQ71+AT71+AW71+AZ71+BC71</f>
        <v>0</v>
      </c>
      <c r="AF71" s="12"/>
      <c r="AG71" s="12">
        <f t="shared" ref="AG71:AG102" si="52">SQRT(AF71)</f>
        <v>0</v>
      </c>
      <c r="AH71" s="12">
        <f t="shared" ref="AH71:AH102" si="53">IF(AG71&gt;0,AG71/AG$6*1000, 0)</f>
        <v>0</v>
      </c>
      <c r="AI71" s="12"/>
      <c r="AJ71" s="12">
        <f t="shared" ref="AJ71:AJ102" si="54">SQRT(AI71)</f>
        <v>0</v>
      </c>
      <c r="AK71" s="12">
        <f t="shared" ref="AK71:AK102" si="55">IF(AJ71&gt;0,AJ71/AJ$6*1000, 0)</f>
        <v>0</v>
      </c>
      <c r="AL71" s="12"/>
      <c r="AM71" s="12">
        <f t="shared" ref="AM71:AM102" si="56">SQRT(AL71)</f>
        <v>0</v>
      </c>
      <c r="AN71" s="12">
        <f t="shared" ref="AN71:AN102" si="57">IF(AM71&gt;0,AM71/AM$6*1000, 0)</f>
        <v>0</v>
      </c>
      <c r="AO71" s="12"/>
      <c r="AP71" s="12">
        <f t="shared" ref="AP71:AP102" si="58">SQRT(AO71)</f>
        <v>0</v>
      </c>
      <c r="AQ71" s="12">
        <f t="shared" ref="AQ71:AQ102" si="59">IF(AP71&gt;0,AP71/AP$6*1000, 0)</f>
        <v>0</v>
      </c>
      <c r="AR71" s="12"/>
      <c r="AS71" s="12">
        <f t="shared" ref="AS71:AS102" si="60">SQRT(AR71)</f>
        <v>0</v>
      </c>
      <c r="AT71" s="12">
        <f t="shared" ref="AT71:AT102" si="61">IF(AS71&gt;0,AS71/AS$6*1000, 0)</f>
        <v>0</v>
      </c>
      <c r="AU71" s="12"/>
      <c r="AV71" s="12"/>
      <c r="AW71" s="12"/>
      <c r="AX71" s="12"/>
      <c r="AY71" s="12"/>
      <c r="AZ71" s="12"/>
      <c r="BA71" s="24"/>
      <c r="BB71" s="12">
        <f t="shared" ref="BB71:BB102" si="62">SQRT(BA71)</f>
        <v>0</v>
      </c>
      <c r="BC71" s="51">
        <f t="shared" ref="BC71:BC102" si="63">IF(BB71&gt;0,BB71/BB$6*1000, 0)</f>
        <v>0</v>
      </c>
      <c r="BD71" s="22">
        <v>0.04</v>
      </c>
      <c r="BE71" s="20">
        <f t="shared" ref="BE71:BE102" si="64">SQRT(BD71)</f>
        <v>0.2</v>
      </c>
      <c r="BF71" s="12">
        <f t="shared" ref="BF71:BF102" si="65">IF(BE71&gt;0, BE71/BE$6*10000, 0)</f>
        <v>59.300920401408703</v>
      </c>
      <c r="BG71" s="12"/>
      <c r="BH71" s="12"/>
      <c r="BI71" s="12"/>
      <c r="BJ71" s="24"/>
      <c r="BK71" s="24"/>
      <c r="BL71" s="24">
        <v>1</v>
      </c>
      <c r="BM71" s="12">
        <f t="shared" ref="BM71:BM102" si="66">IF(BL71&gt;0, BL71/BL$6*2000, 0)</f>
        <v>3.3112582781456954</v>
      </c>
      <c r="BN71" s="45">
        <f t="shared" ref="BN71:BN102" si="67">BO71+BP71</f>
        <v>-50</v>
      </c>
      <c r="BO71" s="27">
        <v>0</v>
      </c>
      <c r="BP71" s="27">
        <v>-50</v>
      </c>
      <c r="BQ71" s="27"/>
      <c r="BR71" s="27"/>
      <c r="BS71" s="27"/>
      <c r="BT71" s="3"/>
      <c r="BU71" s="1"/>
      <c r="BV71" s="1"/>
      <c r="BW71" s="1"/>
    </row>
    <row r="72" spans="1:96" s="6" customFormat="1" ht="20.100000000000001" customHeight="1" x14ac:dyDescent="0.25">
      <c r="A72" s="1"/>
      <c r="B72" s="1">
        <v>78</v>
      </c>
      <c r="C72" s="44">
        <v>66</v>
      </c>
      <c r="D72" s="1" t="str">
        <f t="shared" si="48"/>
        <v>▲12</v>
      </c>
      <c r="E72" s="2" t="s">
        <v>59</v>
      </c>
      <c r="F72" s="47">
        <f t="shared" si="49"/>
        <v>146.97542417102528</v>
      </c>
      <c r="G72" s="15">
        <f>IF(COUNTIF(H72:INDEX(H72:N72,$B$1),"&gt;0")=0,0,
(SUMIF(H72:INDEX(H72:N72,$B$1),"&gt;0",H72:INDEX(H72:N72,$B$1))*$B$1/COUNTIF(H72:INDEX(H72:N72,$B$1),"&gt;0"))*
IF($B$1-COUNTIF(H72:INDEX(H72:N72,$B$1),"&gt;0")&lt;=2,1,
IF($B$1-COUNTIF(H72:INDEX(H72:N72,$B$1),"&gt;0")=3,0.8,
IF($B$1-COUNTIF(H72:INDEX(H72:N72,$B$1),"&gt;0")=4,0.6,0))))</f>
        <v>220</v>
      </c>
      <c r="H72" s="3">
        <v>36</v>
      </c>
      <c r="I72" s="3">
        <v>35</v>
      </c>
      <c r="J72" s="3">
        <v>23</v>
      </c>
      <c r="K72" s="3">
        <v>17</v>
      </c>
      <c r="L72" s="3">
        <v>107</v>
      </c>
      <c r="M72" s="3">
        <v>2</v>
      </c>
      <c r="N72" s="3"/>
      <c r="O72" s="12">
        <f>0.2*IF(COUNTIF(P72:INDEX(P72:V72,$B$1),"&gt;0")=0,0,
(SUMIF(P72:INDEX(P72:V72,$B$1),"&gt;0",P72:INDEX(P72:V72,$B$1))*$B$1/COUNTIF(P72:INDEX(P72:V72,$B$1),"&gt;0"))*
IF($B$1-COUNTIF(P72:INDEX(P72:V72,$B$1),"&gt;0")&lt;=2,1,
IF($B$1-COUNTIF(P72:INDEX(P72:V72,$B$1),"&gt;0")=3,0.8,
IF($B$1-COUNTIF(P72:INDEX(P72:V72,$B$1),"&gt;0")=4,0.6,0))))</f>
        <v>39.800000000000004</v>
      </c>
      <c r="P72" s="3">
        <v>40</v>
      </c>
      <c r="Q72" s="3">
        <v>40</v>
      </c>
      <c r="R72" s="3">
        <v>35</v>
      </c>
      <c r="S72" s="3">
        <v>37</v>
      </c>
      <c r="T72" s="3">
        <v>34</v>
      </c>
      <c r="U72" s="3">
        <v>13</v>
      </c>
      <c r="V72" s="3"/>
      <c r="W72" s="3">
        <f t="shared" si="50"/>
        <v>100</v>
      </c>
      <c r="X72" s="3" t="s">
        <v>17</v>
      </c>
      <c r="Y72" s="3" t="s">
        <v>17</v>
      </c>
      <c r="Z72" s="3" t="s">
        <v>33</v>
      </c>
      <c r="AA72" s="3" t="s">
        <v>123</v>
      </c>
      <c r="AB72" s="3" t="s">
        <v>123</v>
      </c>
      <c r="AC72" s="3" t="s">
        <v>176</v>
      </c>
      <c r="AD72" s="3"/>
      <c r="AE72" s="50">
        <f t="shared" si="51"/>
        <v>0</v>
      </c>
      <c r="AF72" s="12"/>
      <c r="AG72" s="12">
        <f t="shared" si="52"/>
        <v>0</v>
      </c>
      <c r="AH72" s="12">
        <f t="shared" si="53"/>
        <v>0</v>
      </c>
      <c r="AI72" s="12"/>
      <c r="AJ72" s="12">
        <f t="shared" si="54"/>
        <v>0</v>
      </c>
      <c r="AK72" s="12">
        <f t="shared" si="55"/>
        <v>0</v>
      </c>
      <c r="AL72" s="12"/>
      <c r="AM72" s="12">
        <f t="shared" si="56"/>
        <v>0</v>
      </c>
      <c r="AN72" s="12">
        <f t="shared" si="57"/>
        <v>0</v>
      </c>
      <c r="AO72" s="12"/>
      <c r="AP72" s="12">
        <f t="shared" si="58"/>
        <v>0</v>
      </c>
      <c r="AQ72" s="12">
        <f t="shared" si="59"/>
        <v>0</v>
      </c>
      <c r="AR72" s="12"/>
      <c r="AS72" s="12">
        <f t="shared" si="60"/>
        <v>0</v>
      </c>
      <c r="AT72" s="12">
        <f t="shared" si="61"/>
        <v>0</v>
      </c>
      <c r="AU72" s="12"/>
      <c r="AV72" s="12"/>
      <c r="AW72" s="12"/>
      <c r="AX72" s="12"/>
      <c r="AY72" s="12"/>
      <c r="AZ72" s="12"/>
      <c r="BA72" s="24"/>
      <c r="BB72" s="12">
        <f t="shared" si="62"/>
        <v>0</v>
      </c>
      <c r="BC72" s="51">
        <f t="shared" si="63"/>
        <v>0</v>
      </c>
      <c r="BD72" s="22">
        <v>0.08</v>
      </c>
      <c r="BE72" s="20">
        <f t="shared" si="64"/>
        <v>0.28284271247461901</v>
      </c>
      <c r="BF72" s="12">
        <f t="shared" si="65"/>
        <v>83.864165892879541</v>
      </c>
      <c r="BG72" s="12"/>
      <c r="BH72" s="12"/>
      <c r="BI72" s="12"/>
      <c r="BJ72" s="24"/>
      <c r="BK72" s="24"/>
      <c r="BL72" s="24">
        <v>1</v>
      </c>
      <c r="BM72" s="12">
        <f t="shared" si="66"/>
        <v>3.3112582781456954</v>
      </c>
      <c r="BN72" s="45">
        <f t="shared" si="67"/>
        <v>-300</v>
      </c>
      <c r="BO72" s="27">
        <v>-300</v>
      </c>
      <c r="BP72" s="27">
        <v>0</v>
      </c>
      <c r="BQ72" s="27"/>
      <c r="BR72" s="27"/>
      <c r="BS72" s="27"/>
      <c r="BT72" s="3"/>
      <c r="BU72" s="1"/>
      <c r="BV72" s="1"/>
      <c r="BW72" s="1"/>
    </row>
    <row r="73" spans="1:96" s="6" customFormat="1" ht="20.100000000000001" customHeight="1" x14ac:dyDescent="0.25">
      <c r="A73" s="1"/>
      <c r="B73" s="1">
        <v>40</v>
      </c>
      <c r="C73" s="44">
        <v>67</v>
      </c>
      <c r="D73" s="1" t="str">
        <f t="shared" si="48"/>
        <v>▼27</v>
      </c>
      <c r="E73" s="2" t="s">
        <v>54</v>
      </c>
      <c r="F73" s="47">
        <f t="shared" si="49"/>
        <v>144.80440244732517</v>
      </c>
      <c r="G73" s="15">
        <f>IF(COUNTIF(H73:INDEX(H73:N73,$B$1),"&gt;0")=0,0,
(SUMIF(H73:INDEX(H73:N73,$B$1),"&gt;0",H73:INDEX(H73:N73,$B$1))*$B$1/COUNTIF(H73:INDEX(H73:N73,$B$1),"&gt;0"))*
IF($B$1-COUNTIF(H73:INDEX(H73:N73,$B$1),"&gt;0")&lt;=2,1,
IF($B$1-COUNTIF(H73:INDEX(H73:N73,$B$1),"&gt;0")=3,0.8,
IF($B$1-COUNTIF(H73:INDEX(H73:N73,$B$1),"&gt;0")=4,0.6,0))))</f>
        <v>341</v>
      </c>
      <c r="H73" s="3">
        <v>76</v>
      </c>
      <c r="I73" s="3">
        <v>43</v>
      </c>
      <c r="J73" s="3">
        <v>44</v>
      </c>
      <c r="K73" s="3">
        <v>56</v>
      </c>
      <c r="L73" s="3">
        <v>62</v>
      </c>
      <c r="M73" s="3">
        <v>60</v>
      </c>
      <c r="N73" s="3"/>
      <c r="O73" s="12">
        <f>0.2*IF(COUNTIF(P73:INDEX(P73:V73,$B$1),"&gt;0")=0,0,
(SUMIF(P73:INDEX(P73:V73,$B$1),"&gt;0",P73:INDEX(P73:V73,$B$1))*$B$1/COUNTIF(P73:INDEX(P73:V73,$B$1),"&gt;0"))*
IF($B$1-COUNTIF(P73:INDEX(P73:V73,$B$1),"&gt;0")&lt;=2,1,
IF($B$1-COUNTIF(P73:INDEX(P73:V73,$B$1),"&gt;0")=3,0.8,
IF($B$1-COUNTIF(P73:INDEX(P73:V73,$B$1),"&gt;0")=4,0.6,0))))</f>
        <v>54.6</v>
      </c>
      <c r="P73" s="3">
        <v>48</v>
      </c>
      <c r="Q73" s="3">
        <v>41</v>
      </c>
      <c r="R73" s="3">
        <v>45</v>
      </c>
      <c r="S73" s="3">
        <v>44</v>
      </c>
      <c r="T73" s="3">
        <v>45</v>
      </c>
      <c r="U73" s="3">
        <v>50</v>
      </c>
      <c r="V73" s="3"/>
      <c r="W73" s="3">
        <f t="shared" si="50"/>
        <v>20</v>
      </c>
      <c r="X73" s="3"/>
      <c r="Y73" s="3"/>
      <c r="Z73" s="3"/>
      <c r="AA73" s="3"/>
      <c r="AB73" s="3"/>
      <c r="AC73" s="3" t="s">
        <v>176</v>
      </c>
      <c r="AD73" s="3"/>
      <c r="AE73" s="50">
        <f t="shared" si="51"/>
        <v>36.41920487769282</v>
      </c>
      <c r="AF73" s="12"/>
      <c r="AG73" s="12">
        <f t="shared" si="52"/>
        <v>0</v>
      </c>
      <c r="AH73" s="12">
        <f t="shared" si="53"/>
        <v>0</v>
      </c>
      <c r="AI73" s="12"/>
      <c r="AJ73" s="12">
        <f t="shared" si="54"/>
        <v>0</v>
      </c>
      <c r="AK73" s="12">
        <f t="shared" si="55"/>
        <v>0</v>
      </c>
      <c r="AL73" s="12"/>
      <c r="AM73" s="12">
        <f t="shared" si="56"/>
        <v>0</v>
      </c>
      <c r="AN73" s="12">
        <f t="shared" si="57"/>
        <v>0</v>
      </c>
      <c r="AO73" s="12"/>
      <c r="AP73" s="12">
        <f t="shared" si="58"/>
        <v>0</v>
      </c>
      <c r="AQ73" s="12">
        <f t="shared" si="59"/>
        <v>0</v>
      </c>
      <c r="AR73" s="12"/>
      <c r="AS73" s="12">
        <f t="shared" si="60"/>
        <v>0</v>
      </c>
      <c r="AT73" s="12">
        <f t="shared" si="61"/>
        <v>0</v>
      </c>
      <c r="AU73" s="12"/>
      <c r="AV73" s="12"/>
      <c r="AW73" s="12"/>
      <c r="AX73" s="12"/>
      <c r="AY73" s="12"/>
      <c r="AZ73" s="12"/>
      <c r="BA73" s="24">
        <v>117</v>
      </c>
      <c r="BB73" s="12">
        <f t="shared" si="62"/>
        <v>10.816653826391969</v>
      </c>
      <c r="BC73" s="51">
        <f t="shared" si="63"/>
        <v>36.41920487769282</v>
      </c>
      <c r="BD73" s="22">
        <v>0.28999999999999998</v>
      </c>
      <c r="BE73" s="20">
        <f t="shared" si="64"/>
        <v>0.53851648071345037</v>
      </c>
      <c r="BF73" s="12">
        <f t="shared" si="65"/>
        <v>159.67261478817534</v>
      </c>
      <c r="BG73" s="12"/>
      <c r="BH73" s="12"/>
      <c r="BI73" s="12"/>
      <c r="BJ73" s="24"/>
      <c r="BK73" s="24"/>
      <c r="BL73" s="24">
        <v>10</v>
      </c>
      <c r="BM73" s="12">
        <f t="shared" si="66"/>
        <v>33.112582781456958</v>
      </c>
      <c r="BN73" s="45">
        <f t="shared" si="67"/>
        <v>-500</v>
      </c>
      <c r="BO73" s="27">
        <v>-300</v>
      </c>
      <c r="BP73" s="27">
        <v>-200</v>
      </c>
      <c r="BQ73" s="27"/>
      <c r="BR73" s="27"/>
      <c r="BS73" s="27"/>
      <c r="BT73" s="3"/>
      <c r="BU73" s="1"/>
      <c r="BV73" s="1"/>
      <c r="BW73" s="1"/>
    </row>
    <row r="74" spans="1:96" s="6" customFormat="1" ht="20.100000000000001" customHeight="1" x14ac:dyDescent="0.25">
      <c r="A74" s="1"/>
      <c r="B74" s="1">
        <v>33</v>
      </c>
      <c r="C74" s="44">
        <v>68</v>
      </c>
      <c r="D74" s="1" t="str">
        <f t="shared" si="48"/>
        <v>▼35</v>
      </c>
      <c r="E74" s="2" t="s">
        <v>117</v>
      </c>
      <c r="F74" s="47">
        <f t="shared" si="49"/>
        <v>118.48503311258278</v>
      </c>
      <c r="G74" s="15">
        <f>IF(COUNTIF(H74:INDEX(H74:N74,$B$1),"&gt;0")=0,0,
(SUMIF(H74:INDEX(H74:N74,$B$1),"&gt;0",H74:INDEX(H74:N74,$B$1))*$B$1/COUNTIF(H74:INDEX(H74:N74,$B$1),"&gt;0"))*
IF($B$1-COUNTIF(H74:INDEX(H74:N74,$B$1),"&gt;0")&lt;=2,1,
IF($B$1-COUNTIF(H74:INDEX(H74:N74,$B$1),"&gt;0")=3,0.8,
IF($B$1-COUNTIF(H74:INDEX(H74:N74,$B$1),"&gt;0")=4,0.6,0))))</f>
        <v>70.2</v>
      </c>
      <c r="H74" s="3">
        <v>-1</v>
      </c>
      <c r="I74" s="3">
        <v>-1</v>
      </c>
      <c r="J74" s="3">
        <v>-1</v>
      </c>
      <c r="K74" s="3">
        <v>-1</v>
      </c>
      <c r="L74" s="3">
        <v>4</v>
      </c>
      <c r="M74" s="3">
        <v>35</v>
      </c>
      <c r="N74" s="3"/>
      <c r="O74" s="12">
        <f>0.2*IF(COUNTIF(P74:INDEX(P74:V74,$B$1),"&gt;0")=0,0,
(SUMIF(P74:INDEX(P74:V74,$B$1),"&gt;0",P74:INDEX(P74:V74,$B$1))*$B$1/COUNTIF(P74:INDEX(P74:V74,$B$1),"&gt;0"))*
IF($B$1-COUNTIF(P74:INDEX(P74:V74,$B$1),"&gt;0")&lt;=2,1,
IF($B$1-COUNTIF(P74:INDEX(P74:V74,$B$1),"&gt;0")=3,0.8,
IF($B$1-COUNTIF(P74:INDEX(P74:V74,$B$1),"&gt;0")=4,0.6,0))))</f>
        <v>15.040000000000001</v>
      </c>
      <c r="P74" s="3">
        <v>-1</v>
      </c>
      <c r="Q74" s="3">
        <v>-1</v>
      </c>
      <c r="R74" s="3">
        <v>-1</v>
      </c>
      <c r="S74" s="3">
        <v>1</v>
      </c>
      <c r="T74" s="3">
        <v>9</v>
      </c>
      <c r="U74" s="3">
        <v>37</v>
      </c>
      <c r="V74" s="3"/>
      <c r="W74" s="3">
        <f t="shared" si="50"/>
        <v>20</v>
      </c>
      <c r="X74" s="3"/>
      <c r="Y74" s="3"/>
      <c r="Z74" s="3"/>
      <c r="AA74" s="3"/>
      <c r="AB74" s="3"/>
      <c r="AC74" s="3" t="s">
        <v>176</v>
      </c>
      <c r="AD74" s="3"/>
      <c r="AE74" s="50">
        <f t="shared" si="51"/>
        <v>0</v>
      </c>
      <c r="AF74" s="12"/>
      <c r="AG74" s="12">
        <f t="shared" si="52"/>
        <v>0</v>
      </c>
      <c r="AH74" s="12">
        <f t="shared" si="53"/>
        <v>0</v>
      </c>
      <c r="AI74" s="12"/>
      <c r="AJ74" s="12">
        <f t="shared" si="54"/>
        <v>0</v>
      </c>
      <c r="AK74" s="12">
        <f t="shared" si="55"/>
        <v>0</v>
      </c>
      <c r="AL74" s="12"/>
      <c r="AM74" s="12">
        <f t="shared" si="56"/>
        <v>0</v>
      </c>
      <c r="AN74" s="12">
        <f t="shared" si="57"/>
        <v>0</v>
      </c>
      <c r="AO74" s="12"/>
      <c r="AP74" s="12">
        <f t="shared" si="58"/>
        <v>0</v>
      </c>
      <c r="AQ74" s="12">
        <f t="shared" si="59"/>
        <v>0</v>
      </c>
      <c r="AR74" s="12"/>
      <c r="AS74" s="12">
        <f t="shared" si="60"/>
        <v>0</v>
      </c>
      <c r="AT74" s="12">
        <f t="shared" si="61"/>
        <v>0</v>
      </c>
      <c r="AU74" s="12"/>
      <c r="AV74" s="12"/>
      <c r="AW74" s="12"/>
      <c r="AX74" s="12"/>
      <c r="AY74" s="12"/>
      <c r="AZ74" s="12"/>
      <c r="BA74" s="24"/>
      <c r="BB74" s="12">
        <f t="shared" si="62"/>
        <v>0</v>
      </c>
      <c r="BC74" s="51">
        <f t="shared" si="63"/>
        <v>0</v>
      </c>
      <c r="BD74" s="22"/>
      <c r="BE74" s="20">
        <f t="shared" si="64"/>
        <v>0</v>
      </c>
      <c r="BF74" s="12">
        <f t="shared" si="65"/>
        <v>0</v>
      </c>
      <c r="BG74" s="12"/>
      <c r="BH74" s="12"/>
      <c r="BI74" s="12"/>
      <c r="BJ74" s="24"/>
      <c r="BK74" s="24"/>
      <c r="BL74" s="24">
        <v>4</v>
      </c>
      <c r="BM74" s="12">
        <f t="shared" si="66"/>
        <v>13.245033112582782</v>
      </c>
      <c r="BN74" s="45">
        <f t="shared" si="67"/>
        <v>0</v>
      </c>
      <c r="BO74" s="27">
        <v>0</v>
      </c>
      <c r="BP74" s="27">
        <v>0</v>
      </c>
      <c r="BQ74" s="27"/>
      <c r="BR74" s="27"/>
      <c r="BS74" s="27"/>
      <c r="BT74" s="3"/>
      <c r="BU74" s="1"/>
      <c r="BV74" s="1"/>
      <c r="BW74" s="1"/>
    </row>
    <row r="75" spans="1:96" s="6" customFormat="1" ht="20.100000000000001" customHeight="1" x14ac:dyDescent="0.25">
      <c r="A75" s="1"/>
      <c r="B75" s="1">
        <v>90</v>
      </c>
      <c r="C75" s="44">
        <v>69</v>
      </c>
      <c r="D75" s="1" t="str">
        <f t="shared" si="48"/>
        <v>▲21</v>
      </c>
      <c r="E75" s="2" t="s">
        <v>66</v>
      </c>
      <c r="F75" s="47">
        <f t="shared" si="49"/>
        <v>83.787843575532975</v>
      </c>
      <c r="G75" s="15">
        <f>IF(COUNTIF(H75:INDEX(H75:N75,$B$1),"&gt;0")=0,0,
(SUMIF(H75:INDEX(H75:N75,$B$1),"&gt;0",H75:INDEX(H75:N75,$B$1))*$B$1/COUNTIF(H75:INDEX(H75:N75,$B$1),"&gt;0"))*
IF($B$1-COUNTIF(H75:INDEX(H75:N75,$B$1),"&gt;0")&lt;=2,1,
IF($B$1-COUNTIF(H75:INDEX(H75:N75,$B$1),"&gt;0")=3,0.8,
IF($B$1-COUNTIF(H75:INDEX(H75:N75,$B$1),"&gt;0")=4,0.6,0))))</f>
        <v>158</v>
      </c>
      <c r="H75" s="3">
        <v>45</v>
      </c>
      <c r="I75" s="3">
        <v>34</v>
      </c>
      <c r="J75" s="3">
        <v>38</v>
      </c>
      <c r="K75" s="3">
        <v>11</v>
      </c>
      <c r="L75" s="3">
        <v>13</v>
      </c>
      <c r="M75" s="3">
        <v>17</v>
      </c>
      <c r="N75" s="3"/>
      <c r="O75" s="12">
        <f>0.2*IF(COUNTIF(P75:INDEX(P75:V75,$B$1),"&gt;0")=0,0,
(SUMIF(P75:INDEX(P75:V75,$B$1),"&gt;0",P75:INDEX(P75:V75,$B$1))*$B$1/COUNTIF(P75:INDEX(P75:V75,$B$1),"&gt;0"))*
IF($B$1-COUNTIF(P75:INDEX(P75:V75,$B$1),"&gt;0")&lt;=2,1,
IF($B$1-COUNTIF(P75:INDEX(P75:V75,$B$1),"&gt;0")=3,0.8,
IF($B$1-COUNTIF(P75:INDEX(P75:V75,$B$1),"&gt;0")=4,0.6,0))))</f>
        <v>48.6</v>
      </c>
      <c r="P75" s="3">
        <v>61</v>
      </c>
      <c r="Q75" s="3">
        <v>37</v>
      </c>
      <c r="R75" s="3">
        <v>53</v>
      </c>
      <c r="S75" s="3">
        <v>36</v>
      </c>
      <c r="T75" s="3">
        <v>24</v>
      </c>
      <c r="U75" s="3">
        <v>32</v>
      </c>
      <c r="V75" s="3"/>
      <c r="W75" s="3">
        <f t="shared" si="50"/>
        <v>20</v>
      </c>
      <c r="X75" s="3"/>
      <c r="Y75" s="3"/>
      <c r="Z75" s="3"/>
      <c r="AA75" s="3"/>
      <c r="AB75" s="3"/>
      <c r="AC75" s="3" t="s">
        <v>176</v>
      </c>
      <c r="AD75" s="3"/>
      <c r="AE75" s="50">
        <f t="shared" si="51"/>
        <v>5.8317400401141741</v>
      </c>
      <c r="AF75" s="12"/>
      <c r="AG75" s="12">
        <f t="shared" si="52"/>
        <v>0</v>
      </c>
      <c r="AH75" s="12">
        <f t="shared" si="53"/>
        <v>0</v>
      </c>
      <c r="AI75" s="12"/>
      <c r="AJ75" s="12">
        <f t="shared" si="54"/>
        <v>0</v>
      </c>
      <c r="AK75" s="12">
        <f t="shared" si="55"/>
        <v>0</v>
      </c>
      <c r="AL75" s="12"/>
      <c r="AM75" s="12">
        <f t="shared" si="56"/>
        <v>0</v>
      </c>
      <c r="AN75" s="12">
        <f t="shared" si="57"/>
        <v>0</v>
      </c>
      <c r="AO75" s="12"/>
      <c r="AP75" s="12">
        <f t="shared" si="58"/>
        <v>0</v>
      </c>
      <c r="AQ75" s="12">
        <f t="shared" si="59"/>
        <v>0</v>
      </c>
      <c r="AR75" s="12"/>
      <c r="AS75" s="12">
        <f t="shared" si="60"/>
        <v>0</v>
      </c>
      <c r="AT75" s="12">
        <f t="shared" si="61"/>
        <v>0</v>
      </c>
      <c r="AU75" s="12"/>
      <c r="AV75" s="12"/>
      <c r="AW75" s="12"/>
      <c r="AX75" s="12"/>
      <c r="AY75" s="12"/>
      <c r="AZ75" s="12"/>
      <c r="BA75" s="24">
        <v>3</v>
      </c>
      <c r="BB75" s="12">
        <f t="shared" si="62"/>
        <v>1.7320508075688772</v>
      </c>
      <c r="BC75" s="51">
        <f t="shared" si="63"/>
        <v>5.8317400401141741</v>
      </c>
      <c r="BD75" s="22">
        <v>0.03</v>
      </c>
      <c r="BE75" s="20">
        <f t="shared" si="64"/>
        <v>0.17320508075688773</v>
      </c>
      <c r="BF75" s="12">
        <f t="shared" si="65"/>
        <v>51.356103535418832</v>
      </c>
      <c r="BG75" s="12"/>
      <c r="BH75" s="12"/>
      <c r="BI75" s="12"/>
      <c r="BJ75" s="24"/>
      <c r="BK75" s="24"/>
      <c r="BL75" s="24"/>
      <c r="BM75" s="12">
        <f t="shared" si="66"/>
        <v>0</v>
      </c>
      <c r="BN75" s="45">
        <f t="shared" si="67"/>
        <v>-200</v>
      </c>
      <c r="BO75" s="27">
        <v>0</v>
      </c>
      <c r="BP75" s="27">
        <v>-200</v>
      </c>
      <c r="BQ75" s="27"/>
      <c r="BR75" s="27"/>
      <c r="BS75" s="27"/>
      <c r="BT75" s="3"/>
      <c r="BU75" s="1"/>
      <c r="BV75" s="1"/>
      <c r="BW75" s="1"/>
    </row>
    <row r="76" spans="1:96" s="6" customFormat="1" ht="20.100000000000001" customHeight="1" x14ac:dyDescent="0.25">
      <c r="A76" s="1"/>
      <c r="B76" s="1">
        <v>68</v>
      </c>
      <c r="C76" s="44">
        <v>70</v>
      </c>
      <c r="D76" s="1" t="str">
        <f t="shared" si="48"/>
        <v>▼2</v>
      </c>
      <c r="E76" s="2" t="s">
        <v>81</v>
      </c>
      <c r="F76" s="47">
        <f t="shared" si="49"/>
        <v>72.267361813564548</v>
      </c>
      <c r="G76" s="15">
        <f>IF(COUNTIF(H76:INDEX(H76:N76,$B$1),"&gt;0")=0,0,
(SUMIF(H76:INDEX(H76:N76,$B$1),"&gt;0",H76:INDEX(H76:N76,$B$1))*$B$1/COUNTIF(H76:INDEX(H76:N76,$B$1),"&gt;0"))*
IF($B$1-COUNTIF(H76:INDEX(H76:N76,$B$1),"&gt;0")&lt;=2,1,
IF($B$1-COUNTIF(H76:INDEX(H76:N76,$B$1),"&gt;0")=3,0.8,
IF($B$1-COUNTIF(H76:INDEX(H76:N76,$B$1),"&gt;0")=4,0.6,0))))</f>
        <v>164</v>
      </c>
      <c r="H76" s="3">
        <v>22</v>
      </c>
      <c r="I76" s="3">
        <v>24</v>
      </c>
      <c r="J76" s="3">
        <v>32</v>
      </c>
      <c r="K76" s="3">
        <v>46</v>
      </c>
      <c r="L76" s="3">
        <v>27</v>
      </c>
      <c r="M76" s="3">
        <v>13</v>
      </c>
      <c r="N76" s="3"/>
      <c r="O76" s="12">
        <f>0.2*IF(COUNTIF(P76:INDEX(P76:V76,$B$1),"&gt;0")=0,0,
(SUMIF(P76:INDEX(P76:V76,$B$1),"&gt;0",P76:INDEX(P76:V76,$B$1))*$B$1/COUNTIF(P76:INDEX(P76:V76,$B$1),"&gt;0"))*
IF($B$1-COUNTIF(P76:INDEX(P76:V76,$B$1),"&gt;0")&lt;=2,1,
IF($B$1-COUNTIF(P76:INDEX(P76:V76,$B$1),"&gt;0")=3,0.8,
IF($B$1-COUNTIF(P76:INDEX(P76:V76,$B$1),"&gt;0")=4,0.6,0))))</f>
        <v>33.6</v>
      </c>
      <c r="P76" s="3">
        <v>33</v>
      </c>
      <c r="Q76" s="3">
        <v>28</v>
      </c>
      <c r="R76" s="3">
        <v>35</v>
      </c>
      <c r="S76" s="3">
        <v>25</v>
      </c>
      <c r="T76" s="3">
        <v>30</v>
      </c>
      <c r="U76" s="3">
        <v>17</v>
      </c>
      <c r="V76" s="3"/>
      <c r="W76" s="3">
        <f t="shared" si="50"/>
        <v>20</v>
      </c>
      <c r="X76" s="3"/>
      <c r="Y76" s="3"/>
      <c r="Z76" s="3"/>
      <c r="AA76" s="3"/>
      <c r="AB76" s="3"/>
      <c r="AC76" s="3" t="s">
        <v>176</v>
      </c>
      <c r="AD76" s="3"/>
      <c r="AE76" s="50">
        <f t="shared" si="51"/>
        <v>0</v>
      </c>
      <c r="AF76" s="12"/>
      <c r="AG76" s="12">
        <f t="shared" si="52"/>
        <v>0</v>
      </c>
      <c r="AH76" s="12">
        <f t="shared" si="53"/>
        <v>0</v>
      </c>
      <c r="AI76" s="12"/>
      <c r="AJ76" s="12">
        <f t="shared" si="54"/>
        <v>0</v>
      </c>
      <c r="AK76" s="12">
        <f t="shared" si="55"/>
        <v>0</v>
      </c>
      <c r="AL76" s="12"/>
      <c r="AM76" s="12">
        <f t="shared" si="56"/>
        <v>0</v>
      </c>
      <c r="AN76" s="12">
        <f t="shared" si="57"/>
        <v>0</v>
      </c>
      <c r="AO76" s="12"/>
      <c r="AP76" s="12">
        <f t="shared" si="58"/>
        <v>0</v>
      </c>
      <c r="AQ76" s="12">
        <f t="shared" si="59"/>
        <v>0</v>
      </c>
      <c r="AR76" s="12"/>
      <c r="AS76" s="12">
        <f t="shared" si="60"/>
        <v>0</v>
      </c>
      <c r="AT76" s="12">
        <f t="shared" si="61"/>
        <v>0</v>
      </c>
      <c r="AU76" s="12"/>
      <c r="AV76" s="12"/>
      <c r="AW76" s="12"/>
      <c r="AX76" s="12"/>
      <c r="AY76" s="12"/>
      <c r="AZ76" s="12"/>
      <c r="BA76" s="24"/>
      <c r="BB76" s="12">
        <f t="shared" si="62"/>
        <v>0</v>
      </c>
      <c r="BC76" s="51">
        <f t="shared" si="63"/>
        <v>0</v>
      </c>
      <c r="BD76" s="22">
        <v>0.03</v>
      </c>
      <c r="BE76" s="20">
        <f t="shared" si="64"/>
        <v>0.17320508075688773</v>
      </c>
      <c r="BF76" s="12">
        <f t="shared" si="65"/>
        <v>51.356103535418832</v>
      </c>
      <c r="BG76" s="12"/>
      <c r="BH76" s="12"/>
      <c r="BI76" s="12"/>
      <c r="BJ76" s="24"/>
      <c r="BK76" s="24"/>
      <c r="BL76" s="24">
        <v>1</v>
      </c>
      <c r="BM76" s="12">
        <f t="shared" si="66"/>
        <v>3.3112582781456954</v>
      </c>
      <c r="BN76" s="45">
        <f t="shared" si="67"/>
        <v>-200</v>
      </c>
      <c r="BO76" s="27">
        <v>0</v>
      </c>
      <c r="BP76" s="27">
        <v>-200</v>
      </c>
      <c r="BQ76" s="27"/>
      <c r="BR76" s="27"/>
      <c r="BS76" s="27"/>
      <c r="BT76" s="3"/>
      <c r="BU76" s="1"/>
      <c r="BV76" s="1"/>
      <c r="BW76" s="1"/>
    </row>
    <row r="77" spans="1:96" s="6" customFormat="1" ht="20.100000000000001" customHeight="1" x14ac:dyDescent="0.25">
      <c r="A77" s="1"/>
      <c r="B77" s="1">
        <v>69</v>
      </c>
      <c r="C77" s="44">
        <v>71</v>
      </c>
      <c r="D77" s="1" t="str">
        <f t="shared" si="48"/>
        <v>▼2</v>
      </c>
      <c r="E77" s="2" t="s">
        <v>84</v>
      </c>
      <c r="F77" s="47">
        <f t="shared" si="49"/>
        <v>71.228498130426146</v>
      </c>
      <c r="G77" s="15">
        <f>IF(COUNTIF(H77:INDEX(H77:N77,$B$1),"&gt;0")=0,0,
(SUMIF(H77:INDEX(H77:N77,$B$1),"&gt;0",H77:INDEX(H77:N77,$B$1))*$B$1/COUNTIF(H77:INDEX(H77:N77,$B$1),"&gt;0"))*
IF($B$1-COUNTIF(H77:INDEX(H77:N77,$B$1),"&gt;0")&lt;=2,1,
IF($B$1-COUNTIF(H77:INDEX(H77:N77,$B$1),"&gt;0")=3,0.8,
IF($B$1-COUNTIF(H77:INDEX(H77:N77,$B$1),"&gt;0")=4,0.6,0))))</f>
        <v>126</v>
      </c>
      <c r="H77" s="3">
        <v>21</v>
      </c>
      <c r="I77" s="3">
        <v>18</v>
      </c>
      <c r="J77" s="3">
        <v>21</v>
      </c>
      <c r="K77" s="3">
        <v>21</v>
      </c>
      <c r="L77" s="3">
        <v>24</v>
      </c>
      <c r="M77" s="3">
        <v>21</v>
      </c>
      <c r="N77" s="3"/>
      <c r="O77" s="12">
        <f>0.2*IF(COUNTIF(P77:INDEX(P77:V77,$B$1),"&gt;0")=0,0,
(SUMIF(P77:INDEX(P77:V77,$B$1),"&gt;0",P77:INDEX(P77:V77,$B$1))*$B$1/COUNTIF(P77:INDEX(P77:V77,$B$1),"&gt;0"))*
IF($B$1-COUNTIF(P77:INDEX(P77:V77,$B$1),"&gt;0")&lt;=2,1,
IF($B$1-COUNTIF(P77:INDEX(P77:V77,$B$1),"&gt;0")=3,0.8,
IF($B$1-COUNTIF(P77:INDEX(P77:V77,$B$1),"&gt;0")=4,0.6,0))))</f>
        <v>52.6</v>
      </c>
      <c r="P77" s="3">
        <v>49</v>
      </c>
      <c r="Q77" s="3">
        <v>36</v>
      </c>
      <c r="R77" s="3">
        <v>47</v>
      </c>
      <c r="S77" s="3">
        <v>43</v>
      </c>
      <c r="T77" s="3">
        <v>44</v>
      </c>
      <c r="U77" s="3">
        <v>44</v>
      </c>
      <c r="V77" s="3"/>
      <c r="W77" s="3">
        <f t="shared" si="50"/>
        <v>20</v>
      </c>
      <c r="X77" s="3"/>
      <c r="Y77" s="3"/>
      <c r="Z77" s="3"/>
      <c r="AA77" s="3"/>
      <c r="AB77" s="3"/>
      <c r="AC77" s="3" t="s">
        <v>176</v>
      </c>
      <c r="AD77" s="3"/>
      <c r="AE77" s="50">
        <f t="shared" si="51"/>
        <v>0</v>
      </c>
      <c r="AF77" s="12"/>
      <c r="AG77" s="12">
        <f t="shared" si="52"/>
        <v>0</v>
      </c>
      <c r="AH77" s="12">
        <f t="shared" si="53"/>
        <v>0</v>
      </c>
      <c r="AI77" s="12"/>
      <c r="AJ77" s="12">
        <f t="shared" si="54"/>
        <v>0</v>
      </c>
      <c r="AK77" s="12">
        <f t="shared" si="55"/>
        <v>0</v>
      </c>
      <c r="AL77" s="12"/>
      <c r="AM77" s="12">
        <f t="shared" si="56"/>
        <v>0</v>
      </c>
      <c r="AN77" s="12">
        <f t="shared" si="57"/>
        <v>0</v>
      </c>
      <c r="AO77" s="12"/>
      <c r="AP77" s="12">
        <f t="shared" si="58"/>
        <v>0</v>
      </c>
      <c r="AQ77" s="12">
        <f t="shared" si="59"/>
        <v>0</v>
      </c>
      <c r="AR77" s="12"/>
      <c r="AS77" s="12">
        <f t="shared" si="60"/>
        <v>0</v>
      </c>
      <c r="AT77" s="12">
        <f t="shared" si="61"/>
        <v>0</v>
      </c>
      <c r="AU77" s="12"/>
      <c r="AV77" s="12"/>
      <c r="AW77" s="12"/>
      <c r="AX77" s="12"/>
      <c r="AY77" s="12"/>
      <c r="AZ77" s="12"/>
      <c r="BA77" s="24"/>
      <c r="BB77" s="12">
        <f t="shared" si="62"/>
        <v>0</v>
      </c>
      <c r="BC77" s="51">
        <f t="shared" si="63"/>
        <v>0</v>
      </c>
      <c r="BD77" s="22">
        <v>0.06</v>
      </c>
      <c r="BE77" s="20">
        <f t="shared" si="64"/>
        <v>0.2449489742783178</v>
      </c>
      <c r="BF77" s="12">
        <f t="shared" si="65"/>
        <v>72.628498130426152</v>
      </c>
      <c r="BG77" s="12"/>
      <c r="BH77" s="12"/>
      <c r="BI77" s="12"/>
      <c r="BJ77" s="24"/>
      <c r="BK77" s="24"/>
      <c r="BL77" s="24"/>
      <c r="BM77" s="12">
        <f t="shared" si="66"/>
        <v>0</v>
      </c>
      <c r="BN77" s="45">
        <f t="shared" si="67"/>
        <v>-200</v>
      </c>
      <c r="BO77" s="27">
        <v>0</v>
      </c>
      <c r="BP77" s="27">
        <v>-200</v>
      </c>
      <c r="BQ77" s="27"/>
      <c r="BR77" s="27"/>
      <c r="BS77" s="27"/>
      <c r="BT77" s="3"/>
      <c r="BU77" s="1"/>
      <c r="BV77" s="1"/>
      <c r="BW77" s="1"/>
    </row>
    <row r="78" spans="1:96" ht="20.100000000000001" customHeight="1" x14ac:dyDescent="0.25">
      <c r="B78" s="1">
        <v>71</v>
      </c>
      <c r="C78" s="44">
        <v>72</v>
      </c>
      <c r="D78" s="1" t="str">
        <f t="shared" si="48"/>
        <v>▼1</v>
      </c>
      <c r="E78" s="2" t="s">
        <v>83</v>
      </c>
      <c r="F78" s="47">
        <f t="shared" si="49"/>
        <v>45.532082946439772</v>
      </c>
      <c r="G78" s="15">
        <f>IF(COUNTIF(H78:INDEX(H78:N78,$B$1),"&gt;0")=0,0,
(SUMIF(H78:INDEX(H78:N78,$B$1),"&gt;0",H78:INDEX(H78:N78,$B$1))*$B$1/COUNTIF(H78:INDEX(H78:N78,$B$1),"&gt;0"))*
IF($B$1-COUNTIF(H78:INDEX(H78:N78,$B$1),"&gt;0")&lt;=2,1,
IF($B$1-COUNTIF(H78:INDEX(H78:N78,$B$1),"&gt;0")=3,0.8,
IF($B$1-COUNTIF(H78:INDEX(H78:N78,$B$1),"&gt;0")=4,0.6,0))))</f>
        <v>151</v>
      </c>
      <c r="H78" s="3">
        <v>17</v>
      </c>
      <c r="I78" s="3">
        <v>43</v>
      </c>
      <c r="J78" s="3">
        <v>19</v>
      </c>
      <c r="K78" s="3">
        <v>40</v>
      </c>
      <c r="L78" s="3">
        <v>18</v>
      </c>
      <c r="M78" s="3">
        <v>14</v>
      </c>
      <c r="N78" s="3"/>
      <c r="O78" s="12">
        <f>0.2*IF(COUNTIF(P78:INDEX(P78:V78,$B$1),"&gt;0")=0,0,
(SUMIF(P78:INDEX(P78:V78,$B$1),"&gt;0",P78:INDEX(P78:V78,$B$1))*$B$1/COUNTIF(P78:INDEX(P78:V78,$B$1),"&gt;0"))*
IF($B$1-COUNTIF(P78:INDEX(P78:V78,$B$1),"&gt;0")&lt;=2,1,
IF($B$1-COUNTIF(P78:INDEX(P78:V78,$B$1),"&gt;0")=3,0.8,
IF($B$1-COUNTIF(P78:INDEX(P78:V78,$B$1),"&gt;0")=4,0.6,0))))</f>
        <v>32.6</v>
      </c>
      <c r="P78" s="3">
        <v>31</v>
      </c>
      <c r="Q78" s="3">
        <v>32</v>
      </c>
      <c r="R78" s="3">
        <v>27</v>
      </c>
      <c r="S78" s="3">
        <v>29</v>
      </c>
      <c r="T78" s="3">
        <v>20</v>
      </c>
      <c r="U78" s="3">
        <v>24</v>
      </c>
      <c r="W78" s="3">
        <f t="shared" si="50"/>
        <v>20</v>
      </c>
      <c r="X78" s="3"/>
      <c r="AC78" s="3" t="s">
        <v>176</v>
      </c>
      <c r="AE78" s="50">
        <f t="shared" si="51"/>
        <v>0</v>
      </c>
      <c r="AG78" s="12">
        <f t="shared" si="52"/>
        <v>0</v>
      </c>
      <c r="AH78" s="12">
        <f t="shared" si="53"/>
        <v>0</v>
      </c>
      <c r="AI78" s="12"/>
      <c r="AJ78" s="12">
        <f t="shared" si="54"/>
        <v>0</v>
      </c>
      <c r="AK78" s="12">
        <f t="shared" si="55"/>
        <v>0</v>
      </c>
      <c r="AM78" s="12">
        <f t="shared" si="56"/>
        <v>0</v>
      </c>
      <c r="AN78" s="12">
        <f t="shared" si="57"/>
        <v>0</v>
      </c>
      <c r="AP78" s="12">
        <f t="shared" si="58"/>
        <v>0</v>
      </c>
      <c r="AQ78" s="12">
        <f t="shared" si="59"/>
        <v>0</v>
      </c>
      <c r="AS78" s="12">
        <f t="shared" si="60"/>
        <v>0</v>
      </c>
      <c r="AT78" s="12">
        <f t="shared" si="61"/>
        <v>0</v>
      </c>
      <c r="BB78" s="12">
        <f t="shared" si="62"/>
        <v>0</v>
      </c>
      <c r="BC78" s="51">
        <f t="shared" si="63"/>
        <v>0</v>
      </c>
      <c r="BD78" s="22">
        <v>0.02</v>
      </c>
      <c r="BE78" s="20">
        <f t="shared" si="64"/>
        <v>0.1414213562373095</v>
      </c>
      <c r="BF78" s="12">
        <f t="shared" si="65"/>
        <v>41.93208294643977</v>
      </c>
      <c r="BJ78" s="24"/>
      <c r="BK78" s="24"/>
      <c r="BM78" s="12">
        <f t="shared" si="66"/>
        <v>0</v>
      </c>
      <c r="BN78" s="45">
        <f t="shared" si="67"/>
        <v>-200</v>
      </c>
      <c r="BO78" s="27">
        <v>0</v>
      </c>
      <c r="BP78" s="27">
        <v>-200</v>
      </c>
      <c r="BS78" s="27"/>
      <c r="BT78" s="3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</row>
    <row r="79" spans="1:96" ht="20.100000000000001" customHeight="1" x14ac:dyDescent="0.25">
      <c r="B79" s="1">
        <v>74</v>
      </c>
      <c r="C79" s="44">
        <v>73</v>
      </c>
      <c r="D79" s="1" t="str">
        <f t="shared" si="48"/>
        <v>▲1</v>
      </c>
      <c r="E79" s="2" t="s">
        <v>86</v>
      </c>
      <c r="F79" s="47">
        <f t="shared" si="49"/>
        <v>-68.988297148927302</v>
      </c>
      <c r="G79" s="15">
        <f>IF(COUNTIF(H79:INDEX(H79:N79,$B$1),"&gt;0")=0,0,
(SUMIF(H79:INDEX(H79:N79,$B$1),"&gt;0",H79:INDEX(H79:N79,$B$1))*$B$1/COUNTIF(H79:INDEX(H79:N79,$B$1),"&gt;0"))*
IF($B$1-COUNTIF(H79:INDEX(H79:N79,$B$1),"&gt;0")&lt;=2,1,
IF($B$1-COUNTIF(H79:INDEX(H79:N79,$B$1),"&gt;0")=3,0.8,
IF($B$1-COUNTIF(H79:INDEX(H79:N79,$B$1),"&gt;0")=4,0.6,0))))</f>
        <v>162</v>
      </c>
      <c r="H79" s="3">
        <v>30</v>
      </c>
      <c r="I79" s="3">
        <v>26</v>
      </c>
      <c r="J79" s="3">
        <v>10</v>
      </c>
      <c r="K79" s="3">
        <v>36</v>
      </c>
      <c r="L79" s="3">
        <v>16</v>
      </c>
      <c r="M79" s="3">
        <v>44</v>
      </c>
      <c r="N79" s="3"/>
      <c r="O79" s="12">
        <f>0.2*IF(COUNTIF(P79:INDEX(P79:V79,$B$1),"&gt;0")=0,0,
(SUMIF(P79:INDEX(P79:V79,$B$1),"&gt;0",P79:INDEX(P79:V79,$B$1))*$B$1/COUNTIF(P79:INDEX(P79:V79,$B$1),"&gt;0"))*
IF($B$1-COUNTIF(P79:INDEX(P79:V79,$B$1),"&gt;0")&lt;=2,1,
IF($B$1-COUNTIF(P79:INDEX(P79:V79,$B$1),"&gt;0")=3,0.8,
IF($B$1-COUNTIF(P79:INDEX(P79:V79,$B$1),"&gt;0")=4,0.6,0))))</f>
        <v>29.400000000000002</v>
      </c>
      <c r="P79" s="3">
        <v>28</v>
      </c>
      <c r="Q79" s="3">
        <v>19</v>
      </c>
      <c r="R79" s="3">
        <v>29</v>
      </c>
      <c r="S79" s="3">
        <v>28</v>
      </c>
      <c r="T79" s="3">
        <v>20</v>
      </c>
      <c r="U79" s="3">
        <v>23</v>
      </c>
      <c r="W79" s="3">
        <f t="shared" si="50"/>
        <v>20</v>
      </c>
      <c r="X79" s="3"/>
      <c r="AC79" s="3" t="s">
        <v>176</v>
      </c>
      <c r="AE79" s="50">
        <f t="shared" si="51"/>
        <v>0</v>
      </c>
      <c r="AG79" s="12">
        <f t="shared" si="52"/>
        <v>0</v>
      </c>
      <c r="AH79" s="12">
        <f t="shared" si="53"/>
        <v>0</v>
      </c>
      <c r="AI79" s="12"/>
      <c r="AJ79" s="12">
        <f t="shared" si="54"/>
        <v>0</v>
      </c>
      <c r="AK79" s="12">
        <f t="shared" si="55"/>
        <v>0</v>
      </c>
      <c r="AM79" s="12">
        <f t="shared" si="56"/>
        <v>0</v>
      </c>
      <c r="AN79" s="12">
        <f t="shared" si="57"/>
        <v>0</v>
      </c>
      <c r="AP79" s="12">
        <f t="shared" si="58"/>
        <v>0</v>
      </c>
      <c r="AQ79" s="12">
        <f t="shared" si="59"/>
        <v>0</v>
      </c>
      <c r="AS79" s="12">
        <f t="shared" si="60"/>
        <v>0</v>
      </c>
      <c r="AT79" s="12">
        <f t="shared" si="61"/>
        <v>0</v>
      </c>
      <c r="BB79" s="12">
        <f t="shared" si="62"/>
        <v>0</v>
      </c>
      <c r="BC79" s="51">
        <f t="shared" si="63"/>
        <v>0</v>
      </c>
      <c r="BD79" s="22">
        <v>0.05</v>
      </c>
      <c r="BE79" s="20">
        <f t="shared" si="64"/>
        <v>0.22360679774997896</v>
      </c>
      <c r="BF79" s="12">
        <f t="shared" si="65"/>
        <v>66.300444572926978</v>
      </c>
      <c r="BJ79" s="24"/>
      <c r="BK79" s="24"/>
      <c r="BL79" s="24">
        <v>1</v>
      </c>
      <c r="BM79" s="12">
        <f t="shared" si="66"/>
        <v>3.3112582781456954</v>
      </c>
      <c r="BN79" s="45">
        <f t="shared" si="67"/>
        <v>-350</v>
      </c>
      <c r="BO79" s="27">
        <v>-300</v>
      </c>
      <c r="BP79" s="27">
        <v>-50</v>
      </c>
      <c r="BS79" s="27"/>
      <c r="BT79" s="7"/>
      <c r="BU79" s="3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</row>
    <row r="80" spans="1:96" ht="20.100000000000001" customHeight="1" x14ac:dyDescent="0.25">
      <c r="B80" s="1">
        <v>73</v>
      </c>
      <c r="C80" s="44">
        <v>74</v>
      </c>
      <c r="D80" s="1" t="str">
        <f t="shared" si="48"/>
        <v>▼1</v>
      </c>
      <c r="E80" s="2" t="s">
        <v>68</v>
      </c>
      <c r="F80" s="47">
        <f t="shared" si="49"/>
        <v>-91.402059272683346</v>
      </c>
      <c r="G80" s="15">
        <f>IF(COUNTIF(H80:INDEX(H80:N80,$B$1),"&gt;0")=0,0,
(SUMIF(H80:INDEX(H80:N80,$B$1),"&gt;0",H80:INDEX(H80:N80,$B$1))*$B$1/COUNTIF(H80:INDEX(H80:N80,$B$1),"&gt;0"))*
IF($B$1-COUNTIF(H80:INDEX(H80:N80,$B$1),"&gt;0")&lt;=2,1,
IF($B$1-COUNTIF(H80:INDEX(H80:N80,$B$1),"&gt;0")=3,0.8,
IF($B$1-COUNTIF(H80:INDEX(H80:N80,$B$1),"&gt;0")=4,0.6,0))))</f>
        <v>242</v>
      </c>
      <c r="H80" s="3">
        <v>35</v>
      </c>
      <c r="I80" s="3">
        <v>39</v>
      </c>
      <c r="J80" s="3">
        <v>41</v>
      </c>
      <c r="K80" s="3">
        <v>56</v>
      </c>
      <c r="L80" s="3">
        <v>40</v>
      </c>
      <c r="M80" s="3">
        <v>31</v>
      </c>
      <c r="N80" s="3"/>
      <c r="O80" s="12">
        <f>0.2*IF(COUNTIF(P80:INDEX(P80:V80,$B$1),"&gt;0")=0,0,
(SUMIF(P80:INDEX(P80:V80,$B$1),"&gt;0",P80:INDEX(P80:V80,$B$1))*$B$1/COUNTIF(P80:INDEX(P80:V80,$B$1),"&gt;0"))*
IF($B$1-COUNTIF(P80:INDEX(P80:V80,$B$1),"&gt;0")&lt;=2,1,
IF($B$1-COUNTIF(P80:INDEX(P80:V80,$B$1),"&gt;0")=3,0.8,
IF($B$1-COUNTIF(P80:INDEX(P80:V80,$B$1),"&gt;0")=4,0.6,0))))</f>
        <v>52.800000000000004</v>
      </c>
      <c r="P80" s="3">
        <v>48</v>
      </c>
      <c r="Q80" s="3">
        <v>42</v>
      </c>
      <c r="R80" s="3">
        <v>45</v>
      </c>
      <c r="S80" s="3">
        <v>46</v>
      </c>
      <c r="T80" s="3">
        <v>43</v>
      </c>
      <c r="U80" s="3">
        <v>40</v>
      </c>
      <c r="W80" s="3">
        <f t="shared" si="50"/>
        <v>20</v>
      </c>
      <c r="X80" s="3"/>
      <c r="AC80" s="3" t="s">
        <v>176</v>
      </c>
      <c r="AE80" s="50">
        <f t="shared" si="51"/>
        <v>0</v>
      </c>
      <c r="AG80" s="12">
        <f t="shared" si="52"/>
        <v>0</v>
      </c>
      <c r="AH80" s="12">
        <f t="shared" si="53"/>
        <v>0</v>
      </c>
      <c r="AI80" s="12"/>
      <c r="AJ80" s="12">
        <f t="shared" si="54"/>
        <v>0</v>
      </c>
      <c r="AK80" s="12">
        <f t="shared" si="55"/>
        <v>0</v>
      </c>
      <c r="AM80" s="12">
        <f t="shared" si="56"/>
        <v>0</v>
      </c>
      <c r="AN80" s="12">
        <f t="shared" si="57"/>
        <v>0</v>
      </c>
      <c r="AP80" s="12">
        <f t="shared" si="58"/>
        <v>0</v>
      </c>
      <c r="AQ80" s="12">
        <f t="shared" si="59"/>
        <v>0</v>
      </c>
      <c r="AS80" s="12">
        <f t="shared" si="60"/>
        <v>0</v>
      </c>
      <c r="AT80" s="12">
        <f t="shared" si="61"/>
        <v>0</v>
      </c>
      <c r="BB80" s="12">
        <f t="shared" si="62"/>
        <v>0</v>
      </c>
      <c r="BC80" s="51">
        <f t="shared" si="63"/>
        <v>0</v>
      </c>
      <c r="BD80" s="22">
        <v>0.08</v>
      </c>
      <c r="BE80" s="20">
        <f t="shared" si="64"/>
        <v>0.28284271247461901</v>
      </c>
      <c r="BF80" s="12">
        <f t="shared" si="65"/>
        <v>83.864165892879541</v>
      </c>
      <c r="BJ80" s="24"/>
      <c r="BK80" s="24"/>
      <c r="BL80" s="24">
        <v>3</v>
      </c>
      <c r="BM80" s="12">
        <f t="shared" si="66"/>
        <v>9.9337748344370862</v>
      </c>
      <c r="BN80" s="45">
        <f t="shared" si="67"/>
        <v>-500</v>
      </c>
      <c r="BO80" s="27">
        <v>-300</v>
      </c>
      <c r="BP80" s="27">
        <v>-200</v>
      </c>
      <c r="BS80" s="27"/>
      <c r="BT80" s="7"/>
      <c r="BU80" s="3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</row>
    <row r="81" spans="1:96" ht="20.100000000000001" customHeight="1" x14ac:dyDescent="0.25">
      <c r="B81" s="1">
        <v>51</v>
      </c>
      <c r="C81" s="44">
        <v>75</v>
      </c>
      <c r="D81" s="1" t="str">
        <f t="shared" si="48"/>
        <v>▼24</v>
      </c>
      <c r="E81" s="2" t="s">
        <v>98</v>
      </c>
      <c r="F81" s="47">
        <f t="shared" si="49"/>
        <v>-100.36578059263593</v>
      </c>
      <c r="G81" s="15">
        <f>IF(COUNTIF(H81:INDEX(H81:N81,$B$1),"&gt;0")=0,0,
(SUMIF(H81:INDEX(H81:N81,$B$1),"&gt;0",H81:INDEX(H81:N81,$B$1))*$B$1/COUNTIF(H81:INDEX(H81:N81,$B$1),"&gt;0"))*
IF($B$1-COUNTIF(H81:INDEX(H81:N81,$B$1),"&gt;0")&lt;=2,1,
IF($B$1-COUNTIF(H81:INDEX(H81:N81,$B$1),"&gt;0")=3,0.8,
IF($B$1-COUNTIF(H81:INDEX(H81:N81,$B$1),"&gt;0")=4,0.6,0))))</f>
        <v>63</v>
      </c>
      <c r="H81" s="3">
        <v>7</v>
      </c>
      <c r="I81" s="3">
        <v>10</v>
      </c>
      <c r="J81" s="3">
        <v>9</v>
      </c>
      <c r="K81" s="3">
        <v>7</v>
      </c>
      <c r="L81" s="3">
        <v>8</v>
      </c>
      <c r="M81" s="3">
        <v>22</v>
      </c>
      <c r="N81" s="3"/>
      <c r="O81" s="12">
        <f>0.2*IF(COUNTIF(P81:INDEX(P81:V81,$B$1),"&gt;0")=0,0,
(SUMIF(P81:INDEX(P81:V81,$B$1),"&gt;0",P81:INDEX(P81:V81,$B$1))*$B$1/COUNTIF(P81:INDEX(P81:V81,$B$1),"&gt;0"))*
IF($B$1-COUNTIF(P81:INDEX(P81:V81,$B$1),"&gt;0")&lt;=2,1,
IF($B$1-COUNTIF(P81:INDEX(P81:V81,$B$1),"&gt;0")=3,0.8,
IF($B$1-COUNTIF(P81:INDEX(P81:V81,$B$1),"&gt;0")=4,0.6,0))))</f>
        <v>40.400000000000006</v>
      </c>
      <c r="P81" s="3">
        <v>37</v>
      </c>
      <c r="Q81" s="3">
        <v>6</v>
      </c>
      <c r="R81" s="3">
        <v>40</v>
      </c>
      <c r="S81" s="3">
        <v>37</v>
      </c>
      <c r="T81" s="3">
        <v>43</v>
      </c>
      <c r="U81" s="3">
        <v>39</v>
      </c>
      <c r="W81" s="3">
        <f t="shared" si="50"/>
        <v>20</v>
      </c>
      <c r="X81" s="3"/>
      <c r="AC81" s="3" t="s">
        <v>176</v>
      </c>
      <c r="AE81" s="50">
        <f t="shared" si="51"/>
        <v>0</v>
      </c>
      <c r="AG81" s="12">
        <f t="shared" si="52"/>
        <v>0</v>
      </c>
      <c r="AH81" s="12">
        <f t="shared" si="53"/>
        <v>0</v>
      </c>
      <c r="AI81" s="12"/>
      <c r="AJ81" s="12">
        <f t="shared" si="54"/>
        <v>0</v>
      </c>
      <c r="AK81" s="12">
        <f t="shared" si="55"/>
        <v>0</v>
      </c>
      <c r="AM81" s="12">
        <f t="shared" si="56"/>
        <v>0</v>
      </c>
      <c r="AN81" s="12">
        <f t="shared" si="57"/>
        <v>0</v>
      </c>
      <c r="AP81" s="12">
        <f t="shared" si="58"/>
        <v>0</v>
      </c>
      <c r="AQ81" s="12">
        <f t="shared" si="59"/>
        <v>0</v>
      </c>
      <c r="AS81" s="12">
        <f t="shared" si="60"/>
        <v>0</v>
      </c>
      <c r="AT81" s="12">
        <f t="shared" si="61"/>
        <v>0</v>
      </c>
      <c r="BB81" s="12">
        <f t="shared" si="62"/>
        <v>0</v>
      </c>
      <c r="BC81" s="51">
        <f t="shared" si="63"/>
        <v>0</v>
      </c>
      <c r="BD81" s="22">
        <v>0.05</v>
      </c>
      <c r="BE81" s="20">
        <f t="shared" si="64"/>
        <v>0.22360679774997896</v>
      </c>
      <c r="BF81" s="12">
        <f t="shared" si="65"/>
        <v>66.300444572926978</v>
      </c>
      <c r="BJ81" s="24"/>
      <c r="BK81" s="24"/>
      <c r="BL81" s="24">
        <v>3</v>
      </c>
      <c r="BM81" s="12">
        <f t="shared" si="66"/>
        <v>9.9337748344370862</v>
      </c>
      <c r="BN81" s="45">
        <f t="shared" si="67"/>
        <v>-300</v>
      </c>
      <c r="BO81" s="27">
        <v>-300</v>
      </c>
      <c r="BP81" s="27">
        <v>0</v>
      </c>
      <c r="BS81" s="27"/>
      <c r="BT81" s="7"/>
      <c r="BU81" s="3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</row>
    <row r="82" spans="1:96" ht="20.100000000000001" customHeight="1" x14ac:dyDescent="0.25">
      <c r="B82" s="1">
        <v>83</v>
      </c>
      <c r="C82" s="44">
        <v>76</v>
      </c>
      <c r="D82" s="1" t="str">
        <f t="shared" si="48"/>
        <v>▲7</v>
      </c>
      <c r="E82" s="2" t="s">
        <v>82</v>
      </c>
      <c r="F82" s="47">
        <f t="shared" si="49"/>
        <v>-178.86078440659179</v>
      </c>
      <c r="G82" s="15">
        <f>IF(COUNTIF(H82:INDEX(H82:N82,$B$1),"&gt;0")=0,0,
(SUMIF(H82:INDEX(H82:N82,$B$1),"&gt;0",H82:INDEX(H82:N82,$B$1))*$B$1/COUNTIF(H82:INDEX(H82:N82,$B$1),"&gt;0"))*
IF($B$1-COUNTIF(H82:INDEX(H82:N82,$B$1),"&gt;0")&lt;=2,1,
IF($B$1-COUNTIF(H82:INDEX(H82:N82,$B$1),"&gt;0")=3,0.8,
IF($B$1-COUNTIF(H82:INDEX(H82:N82,$B$1),"&gt;0")=4,0.6,0))))</f>
        <v>152</v>
      </c>
      <c r="H82" s="3">
        <v>17</v>
      </c>
      <c r="I82" s="3">
        <v>33</v>
      </c>
      <c r="J82" s="3">
        <v>26</v>
      </c>
      <c r="K82" s="3">
        <v>41</v>
      </c>
      <c r="L82" s="3">
        <v>22</v>
      </c>
      <c r="M82" s="3">
        <v>13</v>
      </c>
      <c r="N82" s="3"/>
      <c r="O82" s="12">
        <f>0.2*IF(COUNTIF(P82:INDEX(P82:V82,$B$1),"&gt;0")=0,0,
(SUMIF(P82:INDEX(P82:V82,$B$1),"&gt;0",P82:INDEX(P82:V82,$B$1))*$B$1/COUNTIF(P82:INDEX(P82:V82,$B$1),"&gt;0"))*
IF($B$1-COUNTIF(P82:INDEX(P82:V82,$B$1),"&gt;0")&lt;=2,1,
IF($B$1-COUNTIF(P82:INDEX(P82:V82,$B$1),"&gt;0")=3,0.8,
IF($B$1-COUNTIF(P82:INDEX(P82:V82,$B$1),"&gt;0")=4,0.6,0))))</f>
        <v>39.400000000000006</v>
      </c>
      <c r="P82" s="3">
        <v>34</v>
      </c>
      <c r="Q82" s="3">
        <v>35</v>
      </c>
      <c r="R82" s="3">
        <v>37</v>
      </c>
      <c r="S82" s="3">
        <v>35</v>
      </c>
      <c r="T82" s="3">
        <v>29</v>
      </c>
      <c r="U82" s="3">
        <v>27</v>
      </c>
      <c r="W82" s="3">
        <f t="shared" si="50"/>
        <v>20</v>
      </c>
      <c r="X82" s="3"/>
      <c r="AC82" s="3" t="s">
        <v>176</v>
      </c>
      <c r="AE82" s="50">
        <f t="shared" si="51"/>
        <v>9.3537111307178193</v>
      </c>
      <c r="AG82" s="12">
        <f t="shared" si="52"/>
        <v>0</v>
      </c>
      <c r="AH82" s="12">
        <f t="shared" si="53"/>
        <v>0</v>
      </c>
      <c r="AI82" s="12">
        <v>0.1</v>
      </c>
      <c r="AJ82" s="12">
        <f t="shared" si="54"/>
        <v>0.31622776601683794</v>
      </c>
      <c r="AK82" s="12">
        <f t="shared" si="55"/>
        <v>9.3537111307178193</v>
      </c>
      <c r="AM82" s="12">
        <f t="shared" si="56"/>
        <v>0</v>
      </c>
      <c r="AN82" s="12">
        <f t="shared" si="57"/>
        <v>0</v>
      </c>
      <c r="AP82" s="12">
        <f t="shared" si="58"/>
        <v>0</v>
      </c>
      <c r="AQ82" s="12">
        <f t="shared" si="59"/>
        <v>0</v>
      </c>
      <c r="AS82" s="12">
        <f t="shared" si="60"/>
        <v>0</v>
      </c>
      <c r="AT82" s="12">
        <f t="shared" si="61"/>
        <v>0</v>
      </c>
      <c r="BB82" s="12">
        <f t="shared" si="62"/>
        <v>0</v>
      </c>
      <c r="BC82" s="51">
        <f t="shared" si="63"/>
        <v>0</v>
      </c>
      <c r="BD82" s="22">
        <v>0.1</v>
      </c>
      <c r="BE82" s="20">
        <f t="shared" si="64"/>
        <v>0.31622776601683794</v>
      </c>
      <c r="BF82" s="12">
        <f t="shared" si="65"/>
        <v>93.762987906399005</v>
      </c>
      <c r="BJ82" s="24"/>
      <c r="BK82" s="24"/>
      <c r="BL82" s="24">
        <v>2</v>
      </c>
      <c r="BM82" s="12">
        <f t="shared" si="66"/>
        <v>6.6225165562913908</v>
      </c>
      <c r="BN82" s="45">
        <f t="shared" si="67"/>
        <v>-500</v>
      </c>
      <c r="BO82" s="27">
        <v>-300</v>
      </c>
      <c r="BP82" s="27">
        <v>-200</v>
      </c>
      <c r="BS82" s="27"/>
      <c r="BT82" s="7"/>
      <c r="BU82" s="3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</row>
    <row r="83" spans="1:96" ht="20.100000000000001" customHeight="1" x14ac:dyDescent="0.25">
      <c r="B83" s="1">
        <v>62</v>
      </c>
      <c r="C83" s="44">
        <v>77</v>
      </c>
      <c r="D83" s="1" t="str">
        <f t="shared" si="48"/>
        <v>▼15</v>
      </c>
      <c r="E83" s="2" t="s">
        <v>88</v>
      </c>
      <c r="F83" s="47">
        <f t="shared" si="49"/>
        <v>-202.28470638144381</v>
      </c>
      <c r="G83" s="15">
        <f>IF(COUNTIF(H83:INDEX(H83:N83,$B$1),"&gt;0")=0,0,
(SUMIF(H83:INDEX(H83:N83,$B$1),"&gt;0",H83:INDEX(H83:N83,$B$1))*$B$1/COUNTIF(H83:INDEX(H83:N83,$B$1),"&gt;0"))*
IF($B$1-COUNTIF(H83:INDEX(H83:N83,$B$1),"&gt;0")&lt;=2,1,
IF($B$1-COUNTIF(H83:INDEX(H83:N83,$B$1),"&gt;0")=3,0.8,
IF($B$1-COUNTIF(H83:INDEX(H83:N83,$B$1),"&gt;0")=4,0.6,0))))</f>
        <v>135</v>
      </c>
      <c r="H83" s="3">
        <v>14</v>
      </c>
      <c r="I83" s="3">
        <v>15</v>
      </c>
      <c r="J83" s="3">
        <v>29</v>
      </c>
      <c r="K83" s="3">
        <v>36</v>
      </c>
      <c r="L83" s="3">
        <v>24</v>
      </c>
      <c r="M83" s="3">
        <v>17</v>
      </c>
      <c r="N83" s="3"/>
      <c r="O83" s="12">
        <f>0.2*IF(COUNTIF(P83:INDEX(P83:V83,$B$1),"&gt;0")=0,0,
(SUMIF(P83:INDEX(P83:V83,$B$1),"&gt;0",P83:INDEX(P83:V83,$B$1))*$B$1/COUNTIF(P83:INDEX(P83:V83,$B$1),"&gt;0"))*
IF($B$1-COUNTIF(P83:INDEX(P83:V83,$B$1),"&gt;0")&lt;=2,1,
IF($B$1-COUNTIF(P83:INDEX(P83:V83,$B$1),"&gt;0")=3,0.8,
IF($B$1-COUNTIF(P83:INDEX(P83:V83,$B$1),"&gt;0")=4,0.6,0))))</f>
        <v>44.400000000000006</v>
      </c>
      <c r="P83" s="3">
        <v>32</v>
      </c>
      <c r="Q83" s="3">
        <v>27</v>
      </c>
      <c r="R83" s="3">
        <v>40</v>
      </c>
      <c r="S83" s="3">
        <v>38</v>
      </c>
      <c r="T83" s="3">
        <v>35</v>
      </c>
      <c r="U83" s="3">
        <v>50</v>
      </c>
      <c r="W83" s="3">
        <f t="shared" si="50"/>
        <v>20</v>
      </c>
      <c r="X83" s="3"/>
      <c r="AC83" s="3" t="s">
        <v>176</v>
      </c>
      <c r="AE83" s="50">
        <f t="shared" si="51"/>
        <v>0</v>
      </c>
      <c r="AG83" s="12">
        <f t="shared" si="52"/>
        <v>0</v>
      </c>
      <c r="AH83" s="12">
        <f t="shared" si="53"/>
        <v>0</v>
      </c>
      <c r="AI83" s="12"/>
      <c r="AJ83" s="12">
        <f t="shared" si="54"/>
        <v>0</v>
      </c>
      <c r="AK83" s="12">
        <f t="shared" si="55"/>
        <v>0</v>
      </c>
      <c r="AM83" s="12">
        <f t="shared" si="56"/>
        <v>0</v>
      </c>
      <c r="AN83" s="12">
        <f t="shared" si="57"/>
        <v>0</v>
      </c>
      <c r="AP83" s="12">
        <f t="shared" si="58"/>
        <v>0</v>
      </c>
      <c r="AQ83" s="12">
        <f t="shared" si="59"/>
        <v>0</v>
      </c>
      <c r="AS83" s="12">
        <f t="shared" si="60"/>
        <v>0</v>
      </c>
      <c r="AT83" s="12">
        <f t="shared" si="61"/>
        <v>0</v>
      </c>
      <c r="BB83" s="12">
        <f t="shared" si="62"/>
        <v>0</v>
      </c>
      <c r="BC83" s="51">
        <f t="shared" si="63"/>
        <v>0</v>
      </c>
      <c r="BD83" s="22">
        <v>7.0000000000000007E-2</v>
      </c>
      <c r="BE83" s="20">
        <f t="shared" si="64"/>
        <v>0.26457513110645908</v>
      </c>
      <c r="BF83" s="12">
        <f t="shared" si="65"/>
        <v>78.447743949682007</v>
      </c>
      <c r="BJ83" s="24"/>
      <c r="BK83" s="24"/>
      <c r="BL83" s="24">
        <v>6</v>
      </c>
      <c r="BM83" s="12">
        <f t="shared" si="66"/>
        <v>19.867549668874172</v>
      </c>
      <c r="BN83" s="45">
        <f t="shared" si="67"/>
        <v>-500</v>
      </c>
      <c r="BO83" s="27">
        <v>-300</v>
      </c>
      <c r="BP83" s="27">
        <v>-200</v>
      </c>
      <c r="BS83" s="27"/>
      <c r="BT83" s="7"/>
      <c r="BU83" s="3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</row>
    <row r="84" spans="1:96" ht="20.100000000000001" customHeight="1" x14ac:dyDescent="0.25">
      <c r="B84" s="1">
        <v>67</v>
      </c>
      <c r="C84" s="44">
        <v>78</v>
      </c>
      <c r="D84" s="1" t="str">
        <f t="shared" si="48"/>
        <v>▼11</v>
      </c>
      <c r="E84" s="2" t="s">
        <v>73</v>
      </c>
      <c r="F84" s="47">
        <f t="shared" si="49"/>
        <v>-205.38726012694116</v>
      </c>
      <c r="G84" s="15">
        <f>IF(COUNTIF(H84:INDEX(H84:N84,$B$1),"&gt;0")=0,0,
(SUMIF(H84:INDEX(H84:N84,$B$1),"&gt;0",H84:INDEX(H84:N84,$B$1))*$B$1/COUNTIF(H84:INDEX(H84:N84,$B$1),"&gt;0"))*
IF($B$1-COUNTIF(H84:INDEX(H84:N84,$B$1),"&gt;0")&lt;=2,1,
IF($B$1-COUNTIF(H84:INDEX(H84:N84,$B$1),"&gt;0")=3,0.8,
IF($B$1-COUNTIF(H84:INDEX(H84:N84,$B$1),"&gt;0")=4,0.6,0))))</f>
        <v>166</v>
      </c>
      <c r="H84" s="3">
        <v>34</v>
      </c>
      <c r="I84" s="3">
        <v>21</v>
      </c>
      <c r="J84" s="3">
        <v>60</v>
      </c>
      <c r="K84" s="3">
        <v>25</v>
      </c>
      <c r="L84" s="3">
        <v>23</v>
      </c>
      <c r="M84" s="3">
        <v>3</v>
      </c>
      <c r="N84" s="3"/>
      <c r="O84" s="12">
        <f>0.2*IF(COUNTIF(P84:INDEX(P84:V84,$B$1),"&gt;0")=0,0,
(SUMIF(P84:INDEX(P84:V84,$B$1),"&gt;0",P84:INDEX(P84:V84,$B$1))*$B$1/COUNTIF(P84:INDEX(P84:V84,$B$1),"&gt;0"))*
IF($B$1-COUNTIF(P84:INDEX(P84:V84,$B$1),"&gt;0")&lt;=2,1,
IF($B$1-COUNTIF(P84:INDEX(P84:V84,$B$1),"&gt;0")=3,0.8,
IF($B$1-COUNTIF(P84:INDEX(P84:V84,$B$1),"&gt;0")=4,0.6,0))))</f>
        <v>26.400000000000002</v>
      </c>
      <c r="P84" s="3">
        <v>29</v>
      </c>
      <c r="Q84" s="3">
        <v>25</v>
      </c>
      <c r="R84" s="3">
        <v>26</v>
      </c>
      <c r="S84" s="3">
        <v>22</v>
      </c>
      <c r="T84" s="3">
        <v>25</v>
      </c>
      <c r="U84" s="3">
        <v>5</v>
      </c>
      <c r="W84" s="3">
        <f t="shared" si="50"/>
        <v>20</v>
      </c>
      <c r="X84" s="3"/>
      <c r="AC84" s="3" t="s">
        <v>176</v>
      </c>
      <c r="AE84" s="50">
        <f t="shared" si="51"/>
        <v>22.911819471650141</v>
      </c>
      <c r="AG84" s="12">
        <f t="shared" si="52"/>
        <v>0</v>
      </c>
      <c r="AH84" s="12">
        <f t="shared" si="53"/>
        <v>0</v>
      </c>
      <c r="AI84" s="12">
        <v>0.6</v>
      </c>
      <c r="AJ84" s="12">
        <f t="shared" si="54"/>
        <v>0.7745966692414834</v>
      </c>
      <c r="AK84" s="12">
        <f t="shared" si="55"/>
        <v>22.911819471650141</v>
      </c>
      <c r="AM84" s="12">
        <f t="shared" si="56"/>
        <v>0</v>
      </c>
      <c r="AN84" s="12">
        <f t="shared" si="57"/>
        <v>0</v>
      </c>
      <c r="AP84" s="12">
        <f t="shared" si="58"/>
        <v>0</v>
      </c>
      <c r="AQ84" s="12">
        <f t="shared" si="59"/>
        <v>0</v>
      </c>
      <c r="AS84" s="12">
        <f t="shared" si="60"/>
        <v>0</v>
      </c>
      <c r="AT84" s="12">
        <f t="shared" si="61"/>
        <v>0</v>
      </c>
      <c r="BB84" s="12">
        <f t="shared" si="62"/>
        <v>0</v>
      </c>
      <c r="BC84" s="51">
        <f t="shared" si="63"/>
        <v>0</v>
      </c>
      <c r="BD84" s="22">
        <v>0.04</v>
      </c>
      <c r="BE84" s="20">
        <f t="shared" si="64"/>
        <v>0.2</v>
      </c>
      <c r="BF84" s="12">
        <f t="shared" si="65"/>
        <v>59.300920401408703</v>
      </c>
      <c r="BJ84" s="24"/>
      <c r="BK84" s="24"/>
      <c r="BM84" s="12">
        <f t="shared" si="66"/>
        <v>0</v>
      </c>
      <c r="BN84" s="45">
        <f t="shared" si="67"/>
        <v>-500</v>
      </c>
      <c r="BO84" s="27">
        <v>-300</v>
      </c>
      <c r="BP84" s="27">
        <v>-200</v>
      </c>
      <c r="BS84" s="27"/>
      <c r="BT84" s="7"/>
      <c r="BU84" s="3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</row>
    <row r="85" spans="1:96" ht="20.100000000000001" customHeight="1" x14ac:dyDescent="0.25">
      <c r="B85" s="1">
        <v>64</v>
      </c>
      <c r="C85" s="44">
        <v>79</v>
      </c>
      <c r="D85" s="1" t="str">
        <f t="shared" si="48"/>
        <v>▼15</v>
      </c>
      <c r="E85" s="2" t="s">
        <v>93</v>
      </c>
      <c r="F85" s="47">
        <f t="shared" si="49"/>
        <v>-211.8</v>
      </c>
      <c r="G85" s="15">
        <f>IF(COUNTIF(H85:INDEX(H85:N85,$B$1),"&gt;0")=0,0,
(SUMIF(H85:INDEX(H85:N85,$B$1),"&gt;0",H85:INDEX(H85:N85,$B$1))*$B$1/COUNTIF(H85:INDEX(H85:N85,$B$1),"&gt;0"))*
IF($B$1-COUNTIF(H85:INDEX(H85:N85,$B$1),"&gt;0")&lt;=2,1,
IF($B$1-COUNTIF(H85:INDEX(H85:N85,$B$1),"&gt;0")=3,0.8,
IF($B$1-COUNTIF(H85:INDEX(H85:N85,$B$1),"&gt;0")=4,0.6,0))))</f>
        <v>98</v>
      </c>
      <c r="H85" s="3">
        <v>20</v>
      </c>
      <c r="I85" s="3">
        <v>18</v>
      </c>
      <c r="J85" s="3">
        <v>12</v>
      </c>
      <c r="K85" s="3">
        <v>12</v>
      </c>
      <c r="L85" s="3">
        <v>28</v>
      </c>
      <c r="M85" s="3">
        <v>8</v>
      </c>
      <c r="N85" s="3"/>
      <c r="O85" s="12">
        <f>0.2*IF(COUNTIF(P85:INDEX(P85:V85,$B$1),"&gt;0")=0,0,
(SUMIF(P85:INDEX(P85:V85,$B$1),"&gt;0",P85:INDEX(P85:V85,$B$1))*$B$1/COUNTIF(P85:INDEX(P85:V85,$B$1),"&gt;0"))*
IF($B$1-COUNTIF(P85:INDEX(P85:V85,$B$1),"&gt;0")&lt;=2,1,
IF($B$1-COUNTIF(P85:INDEX(P85:V85,$B$1),"&gt;0")=3,0.8,
IF($B$1-COUNTIF(P85:INDEX(P85:V85,$B$1),"&gt;0")=4,0.6,0))))</f>
        <v>20.200000000000003</v>
      </c>
      <c r="P85" s="3">
        <v>18</v>
      </c>
      <c r="Q85" s="3">
        <v>9</v>
      </c>
      <c r="R85" s="3">
        <v>17</v>
      </c>
      <c r="S85" s="3">
        <v>19</v>
      </c>
      <c r="T85" s="3">
        <v>26</v>
      </c>
      <c r="U85" s="3">
        <v>12</v>
      </c>
      <c r="W85" s="3">
        <f t="shared" si="50"/>
        <v>20</v>
      </c>
      <c r="X85" s="3"/>
      <c r="AC85" s="3" t="s">
        <v>176</v>
      </c>
      <c r="AE85" s="50">
        <f t="shared" si="51"/>
        <v>0</v>
      </c>
      <c r="AG85" s="12">
        <f t="shared" si="52"/>
        <v>0</v>
      </c>
      <c r="AH85" s="12">
        <f t="shared" si="53"/>
        <v>0</v>
      </c>
      <c r="AI85" s="12"/>
      <c r="AJ85" s="12">
        <f t="shared" si="54"/>
        <v>0</v>
      </c>
      <c r="AK85" s="12">
        <f t="shared" si="55"/>
        <v>0</v>
      </c>
      <c r="AM85" s="12">
        <f t="shared" si="56"/>
        <v>0</v>
      </c>
      <c r="AN85" s="12">
        <f t="shared" si="57"/>
        <v>0</v>
      </c>
      <c r="AP85" s="12">
        <f t="shared" si="58"/>
        <v>0</v>
      </c>
      <c r="AQ85" s="12">
        <f t="shared" si="59"/>
        <v>0</v>
      </c>
      <c r="AS85" s="12">
        <f t="shared" si="60"/>
        <v>0</v>
      </c>
      <c r="AT85" s="12">
        <f t="shared" si="61"/>
        <v>0</v>
      </c>
      <c r="BB85" s="12">
        <f t="shared" si="62"/>
        <v>0</v>
      </c>
      <c r="BC85" s="51">
        <f t="shared" si="63"/>
        <v>0</v>
      </c>
      <c r="BE85" s="20">
        <f t="shared" si="64"/>
        <v>0</v>
      </c>
      <c r="BF85" s="12">
        <f t="shared" si="65"/>
        <v>0</v>
      </c>
      <c r="BJ85" s="24"/>
      <c r="BK85" s="24"/>
      <c r="BM85" s="12">
        <f t="shared" si="66"/>
        <v>0</v>
      </c>
      <c r="BN85" s="45">
        <f t="shared" si="67"/>
        <v>-350</v>
      </c>
      <c r="BO85" s="27">
        <v>-300</v>
      </c>
      <c r="BP85" s="27">
        <v>-50</v>
      </c>
      <c r="BS85" s="27"/>
      <c r="BT85" s="7"/>
      <c r="BU85" s="3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</row>
    <row r="86" spans="1:96" s="6" customFormat="1" ht="20.100000000000001" customHeight="1" x14ac:dyDescent="0.25">
      <c r="A86" s="1"/>
      <c r="B86" s="1">
        <v>87</v>
      </c>
      <c r="C86" s="44">
        <v>80</v>
      </c>
      <c r="D86" s="1" t="str">
        <f t="shared" si="48"/>
        <v>▲7</v>
      </c>
      <c r="E86" s="2" t="s">
        <v>75</v>
      </c>
      <c r="F86" s="47">
        <f t="shared" si="49"/>
        <v>-227.26791705356021</v>
      </c>
      <c r="G86" s="15">
        <f>IF(COUNTIF(H86:INDEX(H86:N86,$B$1),"&gt;0")=0,0,
(SUMIF(H86:INDEX(H86:N86,$B$1),"&gt;0",H86:INDEX(H86:N86,$B$1))*$B$1/COUNTIF(H86:INDEX(H86:N86,$B$1),"&gt;0"))*
IF($B$1-COUNTIF(H86:INDEX(H86:N86,$B$1),"&gt;0")&lt;=2,1,
IF($B$1-COUNTIF(H86:INDEX(H86:N86,$B$1),"&gt;0")=3,0.8,
IF($B$1-COUNTIF(H86:INDEX(H86:N86,$B$1),"&gt;0")=4,0.6,0))))</f>
        <v>183</v>
      </c>
      <c r="H86" s="3">
        <v>27</v>
      </c>
      <c r="I86" s="3">
        <v>44</v>
      </c>
      <c r="J86" s="3">
        <v>27</v>
      </c>
      <c r="K86" s="3">
        <v>25</v>
      </c>
      <c r="L86" s="3">
        <v>25</v>
      </c>
      <c r="M86" s="3">
        <v>35</v>
      </c>
      <c r="N86" s="3"/>
      <c r="O86" s="12">
        <f>0.2*IF(COUNTIF(P86:INDEX(P86:V86,$B$1),"&gt;0")=0,0,
(SUMIF(P86:INDEX(P86:V86,$B$1),"&gt;0",P86:INDEX(P86:V86,$B$1))*$B$1/COUNTIF(P86:INDEX(P86:V86,$B$1),"&gt;0"))*
IF($B$1-COUNTIF(P86:INDEX(P86:V86,$B$1),"&gt;0")&lt;=2,1,
IF($B$1-COUNTIF(P86:INDEX(P86:V86,$B$1),"&gt;0")=3,0.8,
IF($B$1-COUNTIF(P86:INDEX(P86:V86,$B$1),"&gt;0")=4,0.6,0))))</f>
        <v>27.8</v>
      </c>
      <c r="P86" s="3">
        <v>34</v>
      </c>
      <c r="Q86" s="3">
        <v>23</v>
      </c>
      <c r="R86" s="3">
        <v>23</v>
      </c>
      <c r="S86" s="3">
        <v>19</v>
      </c>
      <c r="T86" s="3">
        <v>23</v>
      </c>
      <c r="U86" s="3">
        <v>17</v>
      </c>
      <c r="V86" s="3"/>
      <c r="W86" s="3">
        <f t="shared" si="50"/>
        <v>20</v>
      </c>
      <c r="X86" s="3"/>
      <c r="Y86" s="3"/>
      <c r="Z86" s="3"/>
      <c r="AA86" s="3"/>
      <c r="AB86" s="3"/>
      <c r="AC86" s="3" t="s">
        <v>176</v>
      </c>
      <c r="AD86" s="3"/>
      <c r="AE86" s="50">
        <f t="shared" si="51"/>
        <v>0</v>
      </c>
      <c r="AF86" s="12"/>
      <c r="AG86" s="12">
        <f t="shared" si="52"/>
        <v>0</v>
      </c>
      <c r="AH86" s="12">
        <f t="shared" si="53"/>
        <v>0</v>
      </c>
      <c r="AI86" s="12"/>
      <c r="AJ86" s="12">
        <f t="shared" si="54"/>
        <v>0</v>
      </c>
      <c r="AK86" s="12">
        <f t="shared" si="55"/>
        <v>0</v>
      </c>
      <c r="AL86" s="12"/>
      <c r="AM86" s="12">
        <f t="shared" si="56"/>
        <v>0</v>
      </c>
      <c r="AN86" s="12">
        <f t="shared" si="57"/>
        <v>0</v>
      </c>
      <c r="AO86" s="12"/>
      <c r="AP86" s="12">
        <f t="shared" si="58"/>
        <v>0</v>
      </c>
      <c r="AQ86" s="12">
        <f t="shared" si="59"/>
        <v>0</v>
      </c>
      <c r="AR86" s="12"/>
      <c r="AS86" s="12">
        <f t="shared" si="60"/>
        <v>0</v>
      </c>
      <c r="AT86" s="12">
        <f t="shared" si="61"/>
        <v>0</v>
      </c>
      <c r="AU86" s="12"/>
      <c r="AV86" s="12"/>
      <c r="AW86" s="12"/>
      <c r="AX86" s="12"/>
      <c r="AY86" s="12"/>
      <c r="AZ86" s="12"/>
      <c r="BA86" s="24"/>
      <c r="BB86" s="12">
        <f t="shared" si="62"/>
        <v>0</v>
      </c>
      <c r="BC86" s="51">
        <f t="shared" si="63"/>
        <v>0</v>
      </c>
      <c r="BD86" s="22">
        <v>0.02</v>
      </c>
      <c r="BE86" s="20">
        <f t="shared" si="64"/>
        <v>0.1414213562373095</v>
      </c>
      <c r="BF86" s="12">
        <f t="shared" si="65"/>
        <v>41.93208294643977</v>
      </c>
      <c r="BG86" s="12"/>
      <c r="BH86" s="12"/>
      <c r="BI86" s="12"/>
      <c r="BJ86" s="24"/>
      <c r="BK86" s="24"/>
      <c r="BL86" s="24"/>
      <c r="BM86" s="12">
        <f t="shared" si="66"/>
        <v>0</v>
      </c>
      <c r="BN86" s="45">
        <f t="shared" si="67"/>
        <v>-500</v>
      </c>
      <c r="BO86" s="27">
        <v>-300</v>
      </c>
      <c r="BP86" s="27">
        <v>-200</v>
      </c>
      <c r="BQ86" s="27"/>
      <c r="BR86" s="27"/>
      <c r="BS86" s="27"/>
      <c r="BT86" s="3"/>
      <c r="BU86" s="1"/>
      <c r="BV86" s="1"/>
      <c r="BW86" s="1"/>
    </row>
    <row r="87" spans="1:96" ht="20.100000000000001" customHeight="1" x14ac:dyDescent="0.25">
      <c r="B87" s="1">
        <v>72</v>
      </c>
      <c r="C87" s="44">
        <v>81</v>
      </c>
      <c r="D87" s="1" t="str">
        <f t="shared" si="48"/>
        <v>▼9</v>
      </c>
      <c r="E87" s="2" t="s">
        <v>89</v>
      </c>
      <c r="F87" s="47">
        <f t="shared" si="49"/>
        <v>-276.94953979929562</v>
      </c>
      <c r="G87" s="15">
        <f>IF(COUNTIF(H87:INDEX(H87:N87,$B$1),"&gt;0")=0,0,
(SUMIF(H87:INDEX(H87:N87,$B$1),"&gt;0",H87:INDEX(H87:N87,$B$1))*$B$1/COUNTIF(H87:INDEX(H87:N87,$B$1),"&gt;0"))*
IF($B$1-COUNTIF(H87:INDEX(H87:N87,$B$1),"&gt;0")&lt;=2,1,
IF($B$1-COUNTIF(H87:INDEX(H87:N87,$B$1),"&gt;0")=3,0.8,
IF($B$1-COUNTIF(H87:INDEX(H87:N87,$B$1),"&gt;0")=4,0.6,0))))</f>
        <v>120</v>
      </c>
      <c r="H87" s="3">
        <v>-1</v>
      </c>
      <c r="I87" s="3">
        <v>-1</v>
      </c>
      <c r="J87" s="3">
        <v>18</v>
      </c>
      <c r="K87" s="3">
        <v>18</v>
      </c>
      <c r="L87" s="3">
        <v>25</v>
      </c>
      <c r="M87" s="3">
        <v>19</v>
      </c>
      <c r="N87" s="3"/>
      <c r="O87" s="12">
        <f>0.2*IF(COUNTIF(P87:INDEX(P87:V87,$B$1),"&gt;0")=0,0,
(SUMIF(P87:INDEX(P87:V87,$B$1),"&gt;0",P87:INDEX(P87:V87,$B$1))*$B$1/COUNTIF(P87:INDEX(P87:V87,$B$1),"&gt;0"))*
IF($B$1-COUNTIF(P87:INDEX(P87:V87,$B$1),"&gt;0")&lt;=2,1,
IF($B$1-COUNTIF(P87:INDEX(P87:V87,$B$1),"&gt;0")=3,0.8,
IF($B$1-COUNTIF(P87:INDEX(P87:V87,$B$1),"&gt;0")=4,0.6,0))))</f>
        <v>53.400000000000006</v>
      </c>
      <c r="P87" s="3">
        <v>-1</v>
      </c>
      <c r="Q87" s="3">
        <v>-1</v>
      </c>
      <c r="R87" s="3">
        <v>39</v>
      </c>
      <c r="S87" s="3">
        <v>50</v>
      </c>
      <c r="T87" s="3">
        <v>45</v>
      </c>
      <c r="U87" s="3">
        <v>44</v>
      </c>
      <c r="W87" s="3">
        <f t="shared" si="50"/>
        <v>20</v>
      </c>
      <c r="X87" s="3"/>
      <c r="AC87" s="3" t="s">
        <v>176</v>
      </c>
      <c r="AE87" s="50">
        <f t="shared" si="51"/>
        <v>0</v>
      </c>
      <c r="AG87" s="12">
        <f t="shared" si="52"/>
        <v>0</v>
      </c>
      <c r="AH87" s="12">
        <f t="shared" si="53"/>
        <v>0</v>
      </c>
      <c r="AI87" s="12"/>
      <c r="AJ87" s="12">
        <f t="shared" si="54"/>
        <v>0</v>
      </c>
      <c r="AK87" s="12">
        <f t="shared" si="55"/>
        <v>0</v>
      </c>
      <c r="AM87" s="12">
        <f t="shared" si="56"/>
        <v>0</v>
      </c>
      <c r="AN87" s="12">
        <f t="shared" si="57"/>
        <v>0</v>
      </c>
      <c r="AP87" s="12">
        <f t="shared" si="58"/>
        <v>0</v>
      </c>
      <c r="AQ87" s="12">
        <f t="shared" si="59"/>
        <v>0</v>
      </c>
      <c r="AS87" s="12">
        <f t="shared" si="60"/>
        <v>0</v>
      </c>
      <c r="AT87" s="12">
        <f t="shared" si="61"/>
        <v>0</v>
      </c>
      <c r="BB87" s="12">
        <f t="shared" si="62"/>
        <v>0</v>
      </c>
      <c r="BC87" s="51">
        <f t="shared" si="63"/>
        <v>0</v>
      </c>
      <c r="BD87" s="22">
        <v>0.01</v>
      </c>
      <c r="BE87" s="20">
        <f t="shared" si="64"/>
        <v>0.1</v>
      </c>
      <c r="BF87" s="12">
        <f t="shared" si="65"/>
        <v>29.650460200704352</v>
      </c>
      <c r="BJ87" s="24"/>
      <c r="BK87" s="24"/>
      <c r="BM87" s="12">
        <f t="shared" si="66"/>
        <v>0</v>
      </c>
      <c r="BN87" s="45">
        <f t="shared" si="67"/>
        <v>-500</v>
      </c>
      <c r="BO87" s="27">
        <v>-300</v>
      </c>
      <c r="BP87" s="27">
        <v>-200</v>
      </c>
      <c r="BS87" s="27"/>
      <c r="BT87" s="7"/>
      <c r="BU87" s="3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</row>
    <row r="88" spans="1:96" ht="20.100000000000001" customHeight="1" x14ac:dyDescent="0.25">
      <c r="B88" s="1">
        <v>76</v>
      </c>
      <c r="C88" s="44">
        <v>82</v>
      </c>
      <c r="D88" s="1" t="str">
        <f t="shared" si="48"/>
        <v>▼6</v>
      </c>
      <c r="E88" s="2" t="s">
        <v>95</v>
      </c>
      <c r="F88" s="47">
        <f t="shared" si="49"/>
        <v>-306.83828152114995</v>
      </c>
      <c r="G88" s="15">
        <f>IF(COUNTIF(H88:INDEX(H88:N88,$B$1),"&gt;0")=0,0,
(SUMIF(H88:INDEX(H88:N88,$B$1),"&gt;0",H88:INDEX(H88:N88,$B$1))*$B$1/COUNTIF(H88:INDEX(H88:N88,$B$1),"&gt;0"))*
IF($B$1-COUNTIF(H88:INDEX(H88:N88,$B$1),"&gt;0")&lt;=2,1,
IF($B$1-COUNTIF(H88:INDEX(H88:N88,$B$1),"&gt;0")=3,0.8,
IF($B$1-COUNTIF(H88:INDEX(H88:N88,$B$1),"&gt;0")=4,0.6,0))))</f>
        <v>116</v>
      </c>
      <c r="H88" s="3">
        <v>8</v>
      </c>
      <c r="I88" s="3">
        <v>32</v>
      </c>
      <c r="J88" s="3">
        <v>7</v>
      </c>
      <c r="K88" s="3">
        <v>26</v>
      </c>
      <c r="L88" s="3">
        <v>21</v>
      </c>
      <c r="M88" s="3">
        <v>22</v>
      </c>
      <c r="N88" s="3"/>
      <c r="O88" s="12">
        <f>0.2*IF(COUNTIF(P88:INDEX(P88:V88,$B$1),"&gt;0")=0,0,
(SUMIF(P88:INDEX(P88:V88,$B$1),"&gt;0",P88:INDEX(P88:V88,$B$1))*$B$1/COUNTIF(P88:INDEX(P88:V88,$B$1),"&gt;0"))*
IF($B$1-COUNTIF(P88:INDEX(P88:V88,$B$1),"&gt;0")&lt;=2,1,
IF($B$1-COUNTIF(P88:INDEX(P88:V88,$B$1),"&gt;0")=3,0.8,
IF($B$1-COUNTIF(P88:INDEX(P88:V88,$B$1),"&gt;0")=4,0.6,0))))</f>
        <v>24.200000000000003</v>
      </c>
      <c r="P88" s="3">
        <v>15</v>
      </c>
      <c r="Q88" s="3">
        <v>18</v>
      </c>
      <c r="R88" s="3">
        <v>15</v>
      </c>
      <c r="S88" s="3">
        <v>28</v>
      </c>
      <c r="T88" s="3">
        <v>27</v>
      </c>
      <c r="U88" s="3">
        <v>18</v>
      </c>
      <c r="W88" s="3">
        <f t="shared" si="50"/>
        <v>20</v>
      </c>
      <c r="X88" s="3"/>
      <c r="AC88" s="3" t="s">
        <v>176</v>
      </c>
      <c r="AE88" s="50">
        <f t="shared" si="51"/>
        <v>0</v>
      </c>
      <c r="AG88" s="12">
        <f t="shared" si="52"/>
        <v>0</v>
      </c>
      <c r="AH88" s="12">
        <f t="shared" si="53"/>
        <v>0</v>
      </c>
      <c r="AI88" s="12"/>
      <c r="AJ88" s="12">
        <f t="shared" si="54"/>
        <v>0</v>
      </c>
      <c r="AK88" s="12">
        <f t="shared" si="55"/>
        <v>0</v>
      </c>
      <c r="AM88" s="12">
        <f t="shared" si="56"/>
        <v>0</v>
      </c>
      <c r="AN88" s="12">
        <f t="shared" si="57"/>
        <v>0</v>
      </c>
      <c r="AP88" s="12">
        <f t="shared" si="58"/>
        <v>0</v>
      </c>
      <c r="AQ88" s="12">
        <f t="shared" si="59"/>
        <v>0</v>
      </c>
      <c r="AS88" s="12">
        <f t="shared" si="60"/>
        <v>0</v>
      </c>
      <c r="AT88" s="12">
        <f t="shared" si="61"/>
        <v>0</v>
      </c>
      <c r="BB88" s="12">
        <f t="shared" si="62"/>
        <v>0</v>
      </c>
      <c r="BC88" s="51">
        <f t="shared" si="63"/>
        <v>0</v>
      </c>
      <c r="BD88" s="22">
        <v>0.01</v>
      </c>
      <c r="BE88" s="20">
        <f t="shared" si="64"/>
        <v>0.1</v>
      </c>
      <c r="BF88" s="12">
        <f t="shared" si="65"/>
        <v>29.650460200704352</v>
      </c>
      <c r="BJ88" s="24"/>
      <c r="BK88" s="24"/>
      <c r="BL88" s="24">
        <v>1</v>
      </c>
      <c r="BM88" s="12">
        <f t="shared" si="66"/>
        <v>3.3112582781456954</v>
      </c>
      <c r="BN88" s="45">
        <f t="shared" si="67"/>
        <v>-500</v>
      </c>
      <c r="BO88" s="27">
        <v>-300</v>
      </c>
      <c r="BP88" s="27">
        <v>-200</v>
      </c>
      <c r="BS88" s="27"/>
      <c r="BT88" s="7"/>
      <c r="BU88" s="3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</row>
    <row r="89" spans="1:96" ht="20.100000000000001" customHeight="1" x14ac:dyDescent="0.25">
      <c r="B89" s="1">
        <v>81</v>
      </c>
      <c r="C89" s="44">
        <v>83</v>
      </c>
      <c r="D89" s="1" t="str">
        <f t="shared" si="48"/>
        <v>▼2</v>
      </c>
      <c r="E89" s="2" t="s">
        <v>87</v>
      </c>
      <c r="F89" s="47">
        <f t="shared" si="49"/>
        <v>-313.23828152114993</v>
      </c>
      <c r="G89" s="15">
        <f>IF(COUNTIF(H89:INDEX(H89:N89,$B$1),"&gt;0")=0,0,
(SUMIF(H89:INDEX(H89:N89,$B$1),"&gt;0",H89:INDEX(H89:N89,$B$1))*$B$1/COUNTIF(H89:INDEX(H89:N89,$B$1),"&gt;0"))*
IF($B$1-COUNTIF(H89:INDEX(H89:N89,$B$1),"&gt;0")&lt;=2,1,
IF($B$1-COUNTIF(H89:INDEX(H89:N89,$B$1),"&gt;0")=3,0.8,
IF($B$1-COUNTIF(H89:INDEX(H89:N89,$B$1),"&gt;0")=4,0.6,0))))</f>
        <v>106</v>
      </c>
      <c r="H89" s="3">
        <v>19</v>
      </c>
      <c r="I89" s="3">
        <v>16</v>
      </c>
      <c r="J89" s="3">
        <v>27</v>
      </c>
      <c r="K89" s="3">
        <v>30</v>
      </c>
      <c r="L89" s="3">
        <v>5</v>
      </c>
      <c r="M89" s="3">
        <v>9</v>
      </c>
      <c r="N89" s="3"/>
      <c r="O89" s="12">
        <f>0.2*IF(COUNTIF(P89:INDEX(P89:V89,$B$1),"&gt;0")=0,0,
(SUMIF(P89:INDEX(P89:V89,$B$1),"&gt;0",P89:INDEX(P89:V89,$B$1))*$B$1/COUNTIF(P89:INDEX(P89:V89,$B$1),"&gt;0"))*
IF($B$1-COUNTIF(P89:INDEX(P89:V89,$B$1),"&gt;0")&lt;=2,1,
IF($B$1-COUNTIF(P89:INDEX(P89:V89,$B$1),"&gt;0")=3,0.8,
IF($B$1-COUNTIF(P89:INDEX(P89:V89,$B$1),"&gt;0")=4,0.6,0))))</f>
        <v>27.8</v>
      </c>
      <c r="P89" s="3">
        <v>26</v>
      </c>
      <c r="Q89" s="3">
        <v>27</v>
      </c>
      <c r="R89" s="3">
        <v>32</v>
      </c>
      <c r="S89" s="3">
        <v>17</v>
      </c>
      <c r="T89" s="3">
        <v>15</v>
      </c>
      <c r="U89" s="3">
        <v>22</v>
      </c>
      <c r="W89" s="3">
        <f t="shared" si="50"/>
        <v>20</v>
      </c>
      <c r="X89" s="3"/>
      <c r="AC89" s="3" t="s">
        <v>176</v>
      </c>
      <c r="AE89" s="50">
        <f t="shared" si="51"/>
        <v>0</v>
      </c>
      <c r="AG89" s="12">
        <f t="shared" si="52"/>
        <v>0</v>
      </c>
      <c r="AH89" s="12">
        <f t="shared" si="53"/>
        <v>0</v>
      </c>
      <c r="AI89" s="12"/>
      <c r="AJ89" s="12">
        <f t="shared" si="54"/>
        <v>0</v>
      </c>
      <c r="AK89" s="12">
        <f t="shared" si="55"/>
        <v>0</v>
      </c>
      <c r="AM89" s="12">
        <f t="shared" si="56"/>
        <v>0</v>
      </c>
      <c r="AN89" s="12">
        <f t="shared" si="57"/>
        <v>0</v>
      </c>
      <c r="AP89" s="12">
        <f t="shared" si="58"/>
        <v>0</v>
      </c>
      <c r="AQ89" s="12">
        <f t="shared" si="59"/>
        <v>0</v>
      </c>
      <c r="AS89" s="12">
        <f t="shared" si="60"/>
        <v>0</v>
      </c>
      <c r="AT89" s="12">
        <f t="shared" si="61"/>
        <v>0</v>
      </c>
      <c r="BB89" s="12">
        <f t="shared" si="62"/>
        <v>0</v>
      </c>
      <c r="BC89" s="51">
        <f t="shared" si="63"/>
        <v>0</v>
      </c>
      <c r="BD89" s="22">
        <v>0.01</v>
      </c>
      <c r="BE89" s="20">
        <f t="shared" si="64"/>
        <v>0.1</v>
      </c>
      <c r="BF89" s="12">
        <f t="shared" si="65"/>
        <v>29.650460200704352</v>
      </c>
      <c r="BJ89" s="24"/>
      <c r="BK89" s="24"/>
      <c r="BL89" s="24">
        <v>1</v>
      </c>
      <c r="BM89" s="12">
        <f t="shared" si="66"/>
        <v>3.3112582781456954</v>
      </c>
      <c r="BN89" s="45">
        <f t="shared" si="67"/>
        <v>-500</v>
      </c>
      <c r="BO89" s="27">
        <v>-300</v>
      </c>
      <c r="BP89" s="27">
        <v>-200</v>
      </c>
      <c r="BS89" s="27"/>
      <c r="BT89" s="7"/>
      <c r="BU89" s="3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</row>
    <row r="90" spans="1:96" s="6" customFormat="1" ht="20.100000000000001" customHeight="1" x14ac:dyDescent="0.25">
      <c r="A90" s="1"/>
      <c r="B90" s="1">
        <v>80</v>
      </c>
      <c r="C90" s="44">
        <v>84</v>
      </c>
      <c r="D90" s="1" t="str">
        <f t="shared" si="48"/>
        <v>▼4</v>
      </c>
      <c r="E90" s="2" t="s">
        <v>94</v>
      </c>
      <c r="F90" s="47">
        <f t="shared" si="49"/>
        <v>-318.90450668671292</v>
      </c>
      <c r="G90" s="15">
        <f>IF(COUNTIF(H90:INDEX(H90:N90,$B$1),"&gt;0")=0,0,
(SUMIF(H90:INDEX(H90:N90,$B$1),"&gt;0",H90:INDEX(H90:N90,$B$1))*$B$1/COUNTIF(H90:INDEX(H90:N90,$B$1),"&gt;0"))*
IF($B$1-COUNTIF(H90:INDEX(H90:N90,$B$1),"&gt;0")&lt;=2,1,
IF($B$1-COUNTIF(H90:INDEX(H90:N90,$B$1),"&gt;0")=3,0.8,
IF($B$1-COUNTIF(H90:INDEX(H90:N90,$B$1),"&gt;0")=4,0.6,0))))</f>
        <v>85</v>
      </c>
      <c r="H90" s="3">
        <v>12</v>
      </c>
      <c r="I90" s="3">
        <v>18</v>
      </c>
      <c r="J90" s="3">
        <v>12</v>
      </c>
      <c r="K90" s="3">
        <v>13</v>
      </c>
      <c r="L90" s="3">
        <v>12</v>
      </c>
      <c r="M90" s="3">
        <v>18</v>
      </c>
      <c r="N90" s="3"/>
      <c r="O90" s="12">
        <f>0.2*IF(COUNTIF(P90:INDEX(P90:V90,$B$1),"&gt;0")=0,0,
(SUMIF(P90:INDEX(P90:V90,$B$1),"&gt;0",P90:INDEX(P90:V90,$B$1))*$B$1/COUNTIF(P90:INDEX(P90:V90,$B$1),"&gt;0"))*
IF($B$1-COUNTIF(P90:INDEX(P90:V90,$B$1),"&gt;0")&lt;=2,1,
IF($B$1-COUNTIF(P90:INDEX(P90:V90,$B$1),"&gt;0")=3,0.8,
IF($B$1-COUNTIF(P90:INDEX(P90:V90,$B$1),"&gt;0")=4,0.6,0))))</f>
        <v>33.200000000000003</v>
      </c>
      <c r="P90" s="3">
        <v>27</v>
      </c>
      <c r="Q90" s="3">
        <v>18</v>
      </c>
      <c r="R90" s="3">
        <v>29</v>
      </c>
      <c r="S90" s="3">
        <v>39</v>
      </c>
      <c r="T90" s="3">
        <v>23</v>
      </c>
      <c r="U90" s="3">
        <v>30</v>
      </c>
      <c r="V90" s="3"/>
      <c r="W90" s="3">
        <f t="shared" si="50"/>
        <v>20</v>
      </c>
      <c r="X90" s="3"/>
      <c r="Y90" s="3"/>
      <c r="Z90" s="3"/>
      <c r="AA90" s="3"/>
      <c r="AB90" s="3"/>
      <c r="AC90" s="3" t="s">
        <v>176</v>
      </c>
      <c r="AD90" s="3"/>
      <c r="AE90" s="50">
        <f t="shared" si="51"/>
        <v>0</v>
      </c>
      <c r="AF90" s="12"/>
      <c r="AG90" s="12">
        <f t="shared" si="52"/>
        <v>0</v>
      </c>
      <c r="AH90" s="12">
        <f t="shared" si="53"/>
        <v>0</v>
      </c>
      <c r="AI90" s="12"/>
      <c r="AJ90" s="12">
        <f t="shared" si="54"/>
        <v>0</v>
      </c>
      <c r="AK90" s="12">
        <f t="shared" si="55"/>
        <v>0</v>
      </c>
      <c r="AL90" s="12"/>
      <c r="AM90" s="12">
        <f t="shared" si="56"/>
        <v>0</v>
      </c>
      <c r="AN90" s="12">
        <f t="shared" si="57"/>
        <v>0</v>
      </c>
      <c r="AO90" s="12"/>
      <c r="AP90" s="12">
        <f t="shared" si="58"/>
        <v>0</v>
      </c>
      <c r="AQ90" s="12">
        <f t="shared" si="59"/>
        <v>0</v>
      </c>
      <c r="AR90" s="12"/>
      <c r="AS90" s="12">
        <f t="shared" si="60"/>
        <v>0</v>
      </c>
      <c r="AT90" s="12">
        <f t="shared" si="61"/>
        <v>0</v>
      </c>
      <c r="AU90" s="12"/>
      <c r="AV90" s="12"/>
      <c r="AW90" s="12"/>
      <c r="AX90" s="12"/>
      <c r="AY90" s="12"/>
      <c r="AZ90" s="12"/>
      <c r="BA90" s="24"/>
      <c r="BB90" s="12">
        <f t="shared" si="62"/>
        <v>0</v>
      </c>
      <c r="BC90" s="51">
        <f t="shared" si="63"/>
        <v>0</v>
      </c>
      <c r="BD90" s="22">
        <v>0.01</v>
      </c>
      <c r="BE90" s="20">
        <f t="shared" si="64"/>
        <v>0.1</v>
      </c>
      <c r="BF90" s="12">
        <f t="shared" si="65"/>
        <v>29.650460200704352</v>
      </c>
      <c r="BG90" s="12"/>
      <c r="BH90" s="12"/>
      <c r="BI90" s="12"/>
      <c r="BJ90" s="24"/>
      <c r="BK90" s="24"/>
      <c r="BL90" s="24">
        <v>4</v>
      </c>
      <c r="BM90" s="12">
        <f t="shared" si="66"/>
        <v>13.245033112582782</v>
      </c>
      <c r="BN90" s="45">
        <f t="shared" si="67"/>
        <v>-500</v>
      </c>
      <c r="BO90" s="27">
        <v>-300</v>
      </c>
      <c r="BP90" s="27">
        <v>-200</v>
      </c>
      <c r="BQ90" s="27"/>
      <c r="BR90" s="27"/>
      <c r="BS90" s="27"/>
      <c r="BT90" s="3"/>
      <c r="BU90" s="1"/>
      <c r="BV90" s="1"/>
      <c r="BW90" s="1"/>
    </row>
    <row r="91" spans="1:96" ht="20.100000000000001" customHeight="1" x14ac:dyDescent="0.25">
      <c r="B91" s="1">
        <v>84</v>
      </c>
      <c r="C91" s="44">
        <v>85</v>
      </c>
      <c r="D91" s="1" t="str">
        <f t="shared" si="48"/>
        <v>▼1</v>
      </c>
      <c r="E91" s="2" t="s">
        <v>96</v>
      </c>
      <c r="F91" s="47">
        <f t="shared" si="49"/>
        <v>-353.02953979929566</v>
      </c>
      <c r="G91" s="15">
        <f>IF(COUNTIF(H91:INDEX(H91:N91,$B$1),"&gt;0")=0,0,
(SUMIF(H91:INDEX(H91:N91,$B$1),"&gt;0",H91:INDEX(H91:N91,$B$1))*$B$1/COUNTIF(H91:INDEX(H91:N91,$B$1),"&gt;0"))*
IF($B$1-COUNTIF(H91:INDEX(H91:N91,$B$1),"&gt;0")&lt;=2,1,
IF($B$1-COUNTIF(H91:INDEX(H91:N91,$B$1),"&gt;0")=3,0.8,
IF($B$1-COUNTIF(H91:INDEX(H91:N91,$B$1),"&gt;0")=4,0.6,0))))</f>
        <v>87</v>
      </c>
      <c r="H91" s="3">
        <v>-1</v>
      </c>
      <c r="I91" s="3">
        <v>22</v>
      </c>
      <c r="J91" s="3">
        <v>10</v>
      </c>
      <c r="K91" s="3">
        <v>-1</v>
      </c>
      <c r="L91" s="3">
        <v>14</v>
      </c>
      <c r="M91" s="3">
        <v>12</v>
      </c>
      <c r="N91" s="3"/>
      <c r="O91" s="12">
        <f>0.2*IF(COUNTIF(P91:INDEX(P91:V91,$B$1),"&gt;0")=0,0,
(SUMIF(P91:INDEX(P91:V91,$B$1),"&gt;0",P91:INDEX(P91:V91,$B$1))*$B$1/COUNTIF(P91:INDEX(P91:V91,$B$1),"&gt;0"))*
IF($B$1-COUNTIF(P91:INDEX(P91:V91,$B$1),"&gt;0")&lt;=2,1,
IF($B$1-COUNTIF(P91:INDEX(P91:V91,$B$1),"&gt;0")=3,0.8,
IF($B$1-COUNTIF(P91:INDEX(P91:V91,$B$1),"&gt;0")=4,0.6,0))))</f>
        <v>10.32</v>
      </c>
      <c r="P91" s="3">
        <v>-1</v>
      </c>
      <c r="Q91" s="3">
        <v>16</v>
      </c>
      <c r="R91" s="3">
        <v>5</v>
      </c>
      <c r="S91" s="3">
        <v>6</v>
      </c>
      <c r="T91" s="3">
        <v>7</v>
      </c>
      <c r="U91" s="3">
        <v>9</v>
      </c>
      <c r="W91" s="3">
        <f t="shared" si="50"/>
        <v>20</v>
      </c>
      <c r="X91" s="3"/>
      <c r="AC91" s="3" t="s">
        <v>176</v>
      </c>
      <c r="AE91" s="50">
        <f t="shared" si="51"/>
        <v>0</v>
      </c>
      <c r="AG91" s="12">
        <f t="shared" si="52"/>
        <v>0</v>
      </c>
      <c r="AH91" s="12">
        <f t="shared" si="53"/>
        <v>0</v>
      </c>
      <c r="AI91" s="12"/>
      <c r="AJ91" s="12">
        <f t="shared" si="54"/>
        <v>0</v>
      </c>
      <c r="AK91" s="12">
        <f t="shared" si="55"/>
        <v>0</v>
      </c>
      <c r="AM91" s="12">
        <f t="shared" si="56"/>
        <v>0</v>
      </c>
      <c r="AN91" s="12">
        <f t="shared" si="57"/>
        <v>0</v>
      </c>
      <c r="AP91" s="12">
        <f t="shared" si="58"/>
        <v>0</v>
      </c>
      <c r="AQ91" s="12">
        <f t="shared" si="59"/>
        <v>0</v>
      </c>
      <c r="AS91" s="12">
        <f t="shared" si="60"/>
        <v>0</v>
      </c>
      <c r="AT91" s="12">
        <f t="shared" si="61"/>
        <v>0</v>
      </c>
      <c r="BB91" s="12">
        <f t="shared" si="62"/>
        <v>0</v>
      </c>
      <c r="BC91" s="51">
        <f t="shared" si="63"/>
        <v>0</v>
      </c>
      <c r="BD91" s="22">
        <v>0.01</v>
      </c>
      <c r="BE91" s="20">
        <f t="shared" si="64"/>
        <v>0.1</v>
      </c>
      <c r="BF91" s="12">
        <f t="shared" si="65"/>
        <v>29.650460200704352</v>
      </c>
      <c r="BJ91" s="24"/>
      <c r="BK91" s="24"/>
      <c r="BM91" s="12">
        <f t="shared" si="66"/>
        <v>0</v>
      </c>
      <c r="BN91" s="45">
        <f t="shared" si="67"/>
        <v>-500</v>
      </c>
      <c r="BO91" s="27">
        <v>-300</v>
      </c>
      <c r="BP91" s="27">
        <v>-200</v>
      </c>
      <c r="BS91" s="27"/>
      <c r="BT91" s="3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</row>
    <row r="92" spans="1:96" ht="20.100000000000001" customHeight="1" x14ac:dyDescent="0.25">
      <c r="B92" s="1">
        <v>86</v>
      </c>
      <c r="C92" s="44">
        <v>86</v>
      </c>
      <c r="D92" s="1" t="str">
        <f t="shared" si="48"/>
        <v>—</v>
      </c>
      <c r="E92" s="2" t="s">
        <v>97</v>
      </c>
      <c r="F92" s="47">
        <f t="shared" si="49"/>
        <v>-380.54953979929564</v>
      </c>
      <c r="G92" s="15">
        <f>IF(COUNTIF(H92:INDEX(H92:N92,$B$1),"&gt;0")=0,0,
(SUMIF(H92:INDEX(H92:N92,$B$1),"&gt;0",H92:INDEX(H92:N92,$B$1))*$B$1/COUNTIF(H92:INDEX(H92:N92,$B$1),"&gt;0"))*
IF($B$1-COUNTIF(H92:INDEX(H92:N92,$B$1),"&gt;0")&lt;=2,1,
IF($B$1-COUNTIF(H92:INDEX(H92:N92,$B$1),"&gt;0")=3,0.8,
IF($B$1-COUNTIF(H92:INDEX(H92:N92,$B$1),"&gt;0")=4,0.6,0))))</f>
        <v>51</v>
      </c>
      <c r="H92" s="3">
        <v>7</v>
      </c>
      <c r="I92" s="3">
        <v>16</v>
      </c>
      <c r="J92" s="3">
        <v>14</v>
      </c>
      <c r="K92" s="3">
        <v>3</v>
      </c>
      <c r="L92" s="3">
        <v>1</v>
      </c>
      <c r="M92" s="3">
        <v>10</v>
      </c>
      <c r="N92" s="3"/>
      <c r="O92" s="12">
        <f>0.2*IF(COUNTIF(P92:INDEX(P92:V92,$B$1),"&gt;0")=0,0,
(SUMIF(P92:INDEX(P92:V92,$B$1),"&gt;0",P92:INDEX(P92:V92,$B$1))*$B$1/COUNTIF(P92:INDEX(P92:V92,$B$1),"&gt;0"))*
IF($B$1-COUNTIF(P92:INDEX(P92:V92,$B$1),"&gt;0")&lt;=2,1,
IF($B$1-COUNTIF(P92:INDEX(P92:V92,$B$1),"&gt;0")=3,0.8,
IF($B$1-COUNTIF(P92:INDEX(P92:V92,$B$1),"&gt;0")=4,0.6,0))))</f>
        <v>18.8</v>
      </c>
      <c r="P92" s="3">
        <v>24</v>
      </c>
      <c r="Q92" s="3">
        <v>20</v>
      </c>
      <c r="R92" s="3">
        <v>23</v>
      </c>
      <c r="S92" s="3">
        <v>6</v>
      </c>
      <c r="T92" s="3">
        <v>9</v>
      </c>
      <c r="U92" s="3">
        <v>12</v>
      </c>
      <c r="W92" s="3">
        <f t="shared" si="50"/>
        <v>20</v>
      </c>
      <c r="X92" s="3"/>
      <c r="AC92" s="3" t="s">
        <v>176</v>
      </c>
      <c r="AE92" s="50">
        <f t="shared" si="51"/>
        <v>0</v>
      </c>
      <c r="AG92" s="12">
        <f t="shared" si="52"/>
        <v>0</v>
      </c>
      <c r="AH92" s="12">
        <f t="shared" si="53"/>
        <v>0</v>
      </c>
      <c r="AI92" s="12"/>
      <c r="AJ92" s="12">
        <f t="shared" si="54"/>
        <v>0</v>
      </c>
      <c r="AK92" s="12">
        <f t="shared" si="55"/>
        <v>0</v>
      </c>
      <c r="AM92" s="12">
        <f t="shared" si="56"/>
        <v>0</v>
      </c>
      <c r="AN92" s="12">
        <f t="shared" si="57"/>
        <v>0</v>
      </c>
      <c r="AP92" s="12">
        <f t="shared" si="58"/>
        <v>0</v>
      </c>
      <c r="AQ92" s="12">
        <f t="shared" si="59"/>
        <v>0</v>
      </c>
      <c r="AS92" s="12">
        <f t="shared" si="60"/>
        <v>0</v>
      </c>
      <c r="AT92" s="12">
        <f t="shared" si="61"/>
        <v>0</v>
      </c>
      <c r="BB92" s="12">
        <f t="shared" si="62"/>
        <v>0</v>
      </c>
      <c r="BC92" s="51">
        <f t="shared" si="63"/>
        <v>0</v>
      </c>
      <c r="BD92" s="22">
        <v>0.01</v>
      </c>
      <c r="BE92" s="20">
        <f t="shared" si="64"/>
        <v>0.1</v>
      </c>
      <c r="BF92" s="12">
        <f t="shared" si="65"/>
        <v>29.650460200704352</v>
      </c>
      <c r="BJ92" s="24"/>
      <c r="BK92" s="24"/>
      <c r="BM92" s="12">
        <f t="shared" si="66"/>
        <v>0</v>
      </c>
      <c r="BN92" s="45">
        <f t="shared" si="67"/>
        <v>-500</v>
      </c>
      <c r="BO92" s="27">
        <v>-300</v>
      </c>
      <c r="BP92" s="27">
        <v>-200</v>
      </c>
      <c r="BS92" s="27"/>
      <c r="BT92" s="3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</row>
    <row r="93" spans="1:96" ht="20.100000000000001" customHeight="1" x14ac:dyDescent="0.25">
      <c r="B93" s="1">
        <v>88</v>
      </c>
      <c r="C93" s="44">
        <v>87</v>
      </c>
      <c r="D93" s="1" t="str">
        <f t="shared" si="48"/>
        <v>▲1</v>
      </c>
      <c r="E93" s="2" t="s">
        <v>116</v>
      </c>
      <c r="F93" s="47">
        <f t="shared" si="49"/>
        <v>-441.27828152114995</v>
      </c>
      <c r="G93" s="15">
        <f>IF(COUNTIF(H93:INDEX(H93:N93,$B$1),"&gt;0")=0,0,
(SUMIF(H93:INDEX(H93:N93,$B$1),"&gt;0",H93:INDEX(H93:N93,$B$1))*$B$1/COUNTIF(H93:INDEX(H93:N93,$B$1),"&gt;0"))*
IF($B$1-COUNTIF(H93:INDEX(H93:N93,$B$1),"&gt;0")&lt;=2,1,
IF($B$1-COUNTIF(H93:INDEX(H93:N93,$B$1),"&gt;0")=3,0.8,
IF($B$1-COUNTIF(H93:INDEX(H93:N93,$B$1),"&gt;0")=4,0.6,0))))</f>
        <v>0</v>
      </c>
      <c r="H93" s="3">
        <v>-1</v>
      </c>
      <c r="I93" s="3">
        <v>-1</v>
      </c>
      <c r="J93" s="3">
        <v>-1</v>
      </c>
      <c r="K93" s="3">
        <v>-1</v>
      </c>
      <c r="L93" s="3">
        <v>35</v>
      </c>
      <c r="M93" s="3">
        <v>-2</v>
      </c>
      <c r="N93" s="3"/>
      <c r="O93" s="12">
        <f>0.2*IF(COUNTIF(P93:INDEX(P93:V93,$B$1),"&gt;0")=0,0,
(SUMIF(P93:INDEX(P93:V93,$B$1),"&gt;0",P93:INDEX(P93:V93,$B$1))*$B$1/COUNTIF(P93:INDEX(P93:V93,$B$1),"&gt;0"))*
IF($B$1-COUNTIF(P93:INDEX(P93:V93,$B$1),"&gt;0")&lt;=2,1,
IF($B$1-COUNTIF(P93:INDEX(P93:V93,$B$1),"&gt;0")=3,0.8,
IF($B$1-COUNTIF(P93:INDEX(P93:V93,$B$1),"&gt;0")=4,0.6,0))))</f>
        <v>5.76</v>
      </c>
      <c r="P93" s="3">
        <v>-1</v>
      </c>
      <c r="Q93" s="3">
        <v>-1</v>
      </c>
      <c r="R93" s="3">
        <v>-1</v>
      </c>
      <c r="S93" s="3">
        <v>1</v>
      </c>
      <c r="T93" s="3">
        <v>15</v>
      </c>
      <c r="U93" s="3">
        <v>-1</v>
      </c>
      <c r="W93" s="3">
        <f t="shared" si="50"/>
        <v>20</v>
      </c>
      <c r="X93" s="3"/>
      <c r="AC93" s="3" t="s">
        <v>176</v>
      </c>
      <c r="AE93" s="50">
        <f t="shared" si="51"/>
        <v>0</v>
      </c>
      <c r="AG93" s="12">
        <f t="shared" si="52"/>
        <v>0</v>
      </c>
      <c r="AH93" s="12">
        <f t="shared" si="53"/>
        <v>0</v>
      </c>
      <c r="AI93" s="12"/>
      <c r="AJ93" s="12">
        <f t="shared" si="54"/>
        <v>0</v>
      </c>
      <c r="AK93" s="12">
        <f t="shared" si="55"/>
        <v>0</v>
      </c>
      <c r="AM93" s="12">
        <f t="shared" si="56"/>
        <v>0</v>
      </c>
      <c r="AN93" s="12">
        <f t="shared" si="57"/>
        <v>0</v>
      </c>
      <c r="AP93" s="12">
        <f t="shared" si="58"/>
        <v>0</v>
      </c>
      <c r="AQ93" s="12">
        <f t="shared" si="59"/>
        <v>0</v>
      </c>
      <c r="AS93" s="12">
        <f t="shared" si="60"/>
        <v>0</v>
      </c>
      <c r="AT93" s="12">
        <f t="shared" si="61"/>
        <v>0</v>
      </c>
      <c r="BB93" s="12">
        <f t="shared" si="62"/>
        <v>0</v>
      </c>
      <c r="BC93" s="51">
        <f t="shared" si="63"/>
        <v>0</v>
      </c>
      <c r="BD93" s="22">
        <v>0.01</v>
      </c>
      <c r="BE93" s="20">
        <f t="shared" si="64"/>
        <v>0.1</v>
      </c>
      <c r="BF93" s="12">
        <f t="shared" si="65"/>
        <v>29.650460200704352</v>
      </c>
      <c r="BJ93" s="24"/>
      <c r="BK93" s="24"/>
      <c r="BL93" s="24">
        <v>1</v>
      </c>
      <c r="BM93" s="12">
        <f t="shared" si="66"/>
        <v>3.3112582781456954</v>
      </c>
      <c r="BN93" s="45">
        <f t="shared" si="67"/>
        <v>-500</v>
      </c>
      <c r="BO93" s="27">
        <v>-300</v>
      </c>
      <c r="BP93" s="27">
        <v>-200</v>
      </c>
      <c r="BS93" s="27"/>
      <c r="BT93" s="3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</row>
    <row r="94" spans="1:96" ht="20.100000000000001" customHeight="1" x14ac:dyDescent="0.25">
      <c r="B94" s="1">
        <v>82</v>
      </c>
      <c r="C94" s="44">
        <v>88</v>
      </c>
      <c r="D94" s="1" t="str">
        <f t="shared" si="48"/>
        <v>▼6</v>
      </c>
      <c r="E94" s="2" t="s">
        <v>101</v>
      </c>
      <c r="F94" s="47">
        <f t="shared" si="49"/>
        <v>-480</v>
      </c>
      <c r="G94" s="15">
        <f>IF(COUNTIF(H94:INDEX(H94:N94,$B$1),"&gt;0")=0,0,
(SUMIF(H94:INDEX(H94:N94,$B$1),"&gt;0",H94:INDEX(H94:N94,$B$1))*$B$1/COUNTIF(H94:INDEX(H94:N94,$B$1),"&gt;0"))*
IF($B$1-COUNTIF(H94:INDEX(H94:N94,$B$1),"&gt;0")&lt;=2,1,
IF($B$1-COUNTIF(H94:INDEX(H94:N94,$B$1),"&gt;0")=3,0.8,
IF($B$1-COUNTIF(H94:INDEX(H94:N94,$B$1),"&gt;0")=4,0.6,0))))</f>
        <v>0</v>
      </c>
      <c r="H94" s="3">
        <v>-1</v>
      </c>
      <c r="I94" s="3">
        <v>-1</v>
      </c>
      <c r="J94" s="3">
        <v>-1</v>
      </c>
      <c r="K94" s="3">
        <v>-1</v>
      </c>
      <c r="L94" s="3">
        <v>1</v>
      </c>
      <c r="M94" s="3">
        <v>-2</v>
      </c>
      <c r="N94" s="3"/>
      <c r="O94" s="12">
        <f>0.2*IF(COUNTIF(P94:INDEX(P94:V94,$B$1),"&gt;0")=0,0,
(SUMIF(P94:INDEX(P94:V94,$B$1),"&gt;0",P94:INDEX(P94:V94,$B$1))*$B$1/COUNTIF(P94:INDEX(P94:V94,$B$1),"&gt;0"))*
IF($B$1-COUNTIF(P94:INDEX(P94:V94,$B$1),"&gt;0")&lt;=2,1,
IF($B$1-COUNTIF(P94:INDEX(P94:V94,$B$1),"&gt;0")=3,0.8,
IF($B$1-COUNTIF(P94:INDEX(P94:V94,$B$1),"&gt;0")=4,0.6,0))))</f>
        <v>0</v>
      </c>
      <c r="P94" s="3">
        <v>-1</v>
      </c>
      <c r="Q94" s="3">
        <v>-1</v>
      </c>
      <c r="R94" s="3">
        <v>-2</v>
      </c>
      <c r="S94" s="3">
        <v>-2</v>
      </c>
      <c r="T94" s="3">
        <v>3</v>
      </c>
      <c r="U94" s="3">
        <v>-2</v>
      </c>
      <c r="W94" s="3">
        <f t="shared" si="50"/>
        <v>20</v>
      </c>
      <c r="X94" s="3"/>
      <c r="AC94" s="3" t="s">
        <v>176</v>
      </c>
      <c r="AE94" s="50">
        <f t="shared" si="51"/>
        <v>0</v>
      </c>
      <c r="AG94" s="12">
        <f t="shared" si="52"/>
        <v>0</v>
      </c>
      <c r="AH94" s="12">
        <f t="shared" si="53"/>
        <v>0</v>
      </c>
      <c r="AI94" s="12"/>
      <c r="AJ94" s="12">
        <f t="shared" si="54"/>
        <v>0</v>
      </c>
      <c r="AK94" s="12">
        <f t="shared" si="55"/>
        <v>0</v>
      </c>
      <c r="AM94" s="12">
        <f t="shared" si="56"/>
        <v>0</v>
      </c>
      <c r="AN94" s="12">
        <f t="shared" si="57"/>
        <v>0</v>
      </c>
      <c r="AP94" s="12">
        <f t="shared" si="58"/>
        <v>0</v>
      </c>
      <c r="AQ94" s="12">
        <f t="shared" si="59"/>
        <v>0</v>
      </c>
      <c r="AS94" s="12">
        <f t="shared" si="60"/>
        <v>0</v>
      </c>
      <c r="AT94" s="12">
        <f t="shared" si="61"/>
        <v>0</v>
      </c>
      <c r="BB94" s="12">
        <f t="shared" si="62"/>
        <v>0</v>
      </c>
      <c r="BC94" s="51">
        <f t="shared" si="63"/>
        <v>0</v>
      </c>
      <c r="BE94" s="20">
        <f t="shared" si="64"/>
        <v>0</v>
      </c>
      <c r="BF94" s="12">
        <f t="shared" si="65"/>
        <v>0</v>
      </c>
      <c r="BJ94" s="24"/>
      <c r="BK94" s="24"/>
      <c r="BM94" s="12">
        <f t="shared" si="66"/>
        <v>0</v>
      </c>
      <c r="BN94" s="45">
        <f t="shared" si="67"/>
        <v>-500</v>
      </c>
      <c r="BO94" s="27">
        <v>-300</v>
      </c>
      <c r="BP94" s="27">
        <v>-200</v>
      </c>
      <c r="BS94" s="27"/>
      <c r="BT94" s="3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</row>
    <row r="95" spans="1:96" ht="20.100000000000001" customHeight="1" x14ac:dyDescent="0.25">
      <c r="B95" s="1">
        <v>92</v>
      </c>
      <c r="C95" s="44">
        <v>89</v>
      </c>
      <c r="D95" s="1" t="str">
        <f t="shared" si="48"/>
        <v>▲3</v>
      </c>
      <c r="E95" s="2" t="s">
        <v>100</v>
      </c>
      <c r="F95" s="47">
        <f t="shared" si="49"/>
        <v>-480</v>
      </c>
      <c r="G95" s="15">
        <f>IF(COUNTIF(H95:INDEX(H95:N95,$B$1),"&gt;0")=0,0,
(SUMIF(H95:INDEX(H95:N95,$B$1),"&gt;0",H95:INDEX(H95:N95,$B$1))*$B$1/COUNTIF(H95:INDEX(H95:N95,$B$1),"&gt;0"))*
IF($B$1-COUNTIF(H95:INDEX(H95:N95,$B$1),"&gt;0")&lt;=2,1,
IF($B$1-COUNTIF(H95:INDEX(H95:N95,$B$1),"&gt;0")=3,0.8,
IF($B$1-COUNTIF(H95:INDEX(H95:N95,$B$1),"&gt;0")=4,0.6,0))))</f>
        <v>0</v>
      </c>
      <c r="H95" s="3">
        <v>-1</v>
      </c>
      <c r="I95" s="3">
        <v>-1</v>
      </c>
      <c r="J95" s="3">
        <v>-2</v>
      </c>
      <c r="K95" s="3">
        <v>-2</v>
      </c>
      <c r="L95" s="3">
        <v>-2</v>
      </c>
      <c r="M95" s="3">
        <v>-2</v>
      </c>
      <c r="N95" s="3"/>
      <c r="O95" s="12">
        <f>0.2*IF(COUNTIF(P95:INDEX(P95:V95,$B$1),"&gt;0")=0,0,
(SUMIF(P95:INDEX(P95:V95,$B$1),"&gt;0",P95:INDEX(P95:V95,$B$1))*$B$1/COUNTIF(P95:INDEX(P95:V95,$B$1),"&gt;0"))*
IF($B$1-COUNTIF(P95:INDEX(P95:V95,$B$1),"&gt;0")&lt;=2,1,
IF($B$1-COUNTIF(P95:INDEX(P95:V95,$B$1),"&gt;0")=3,0.8,
IF($B$1-COUNTIF(P95:INDEX(P95:V95,$B$1),"&gt;0")=4,0.6,0))))</f>
        <v>0</v>
      </c>
      <c r="P95" s="3">
        <v>-1</v>
      </c>
      <c r="Q95" s="3">
        <v>3</v>
      </c>
      <c r="R95" s="3">
        <v>-2</v>
      </c>
      <c r="S95" s="3">
        <v>-2</v>
      </c>
      <c r="T95" s="3">
        <v>-2</v>
      </c>
      <c r="U95" s="3">
        <v>-2</v>
      </c>
      <c r="W95" s="3">
        <f t="shared" si="50"/>
        <v>20</v>
      </c>
      <c r="X95" s="3"/>
      <c r="AC95" s="3" t="s">
        <v>176</v>
      </c>
      <c r="AE95" s="50">
        <f t="shared" si="51"/>
        <v>0</v>
      </c>
      <c r="AG95" s="12">
        <f t="shared" si="52"/>
        <v>0</v>
      </c>
      <c r="AH95" s="12">
        <f t="shared" si="53"/>
        <v>0</v>
      </c>
      <c r="AI95" s="12"/>
      <c r="AJ95" s="12">
        <f t="shared" si="54"/>
        <v>0</v>
      </c>
      <c r="AK95" s="12">
        <f t="shared" si="55"/>
        <v>0</v>
      </c>
      <c r="AM95" s="12">
        <f t="shared" si="56"/>
        <v>0</v>
      </c>
      <c r="AN95" s="12">
        <f t="shared" si="57"/>
        <v>0</v>
      </c>
      <c r="AP95" s="12">
        <f t="shared" si="58"/>
        <v>0</v>
      </c>
      <c r="AQ95" s="12">
        <f t="shared" si="59"/>
        <v>0</v>
      </c>
      <c r="AS95" s="12">
        <f t="shared" si="60"/>
        <v>0</v>
      </c>
      <c r="AT95" s="12">
        <f t="shared" si="61"/>
        <v>0</v>
      </c>
      <c r="BB95" s="12">
        <f t="shared" si="62"/>
        <v>0</v>
      </c>
      <c r="BC95" s="51">
        <f t="shared" si="63"/>
        <v>0</v>
      </c>
      <c r="BE95" s="20">
        <f t="shared" si="64"/>
        <v>0</v>
      </c>
      <c r="BF95" s="12">
        <f t="shared" si="65"/>
        <v>0</v>
      </c>
      <c r="BJ95" s="24"/>
      <c r="BK95" s="24"/>
      <c r="BM95" s="12">
        <f t="shared" si="66"/>
        <v>0</v>
      </c>
      <c r="BN95" s="45">
        <f t="shared" si="67"/>
        <v>-500</v>
      </c>
      <c r="BO95" s="27">
        <v>-300</v>
      </c>
      <c r="BP95" s="27">
        <v>-200</v>
      </c>
      <c r="BS95" s="27"/>
      <c r="BT95" s="3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</row>
    <row r="96" spans="1:96" ht="20.100000000000001" customHeight="1" x14ac:dyDescent="0.25">
      <c r="B96" s="1">
        <v>93</v>
      </c>
      <c r="C96" s="44">
        <v>90</v>
      </c>
      <c r="D96" s="1" t="str">
        <f t="shared" si="48"/>
        <v>▲3</v>
      </c>
      <c r="E96" s="2" t="s">
        <v>102</v>
      </c>
      <c r="F96" s="47">
        <f t="shared" si="49"/>
        <v>-480</v>
      </c>
      <c r="G96" s="15">
        <f>IF(COUNTIF(H96:INDEX(H96:N96,$B$1),"&gt;0")=0,0,
(SUMIF(H96:INDEX(H96:N96,$B$1),"&gt;0",H96:INDEX(H96:N96,$B$1))*$B$1/COUNTIF(H96:INDEX(H96:N96,$B$1),"&gt;0"))*
IF($B$1-COUNTIF(H96:INDEX(H96:N96,$B$1),"&gt;0")&lt;=2,1,
IF($B$1-COUNTIF(H96:INDEX(H96:N96,$B$1),"&gt;0")=3,0.8,
IF($B$1-COUNTIF(H96:INDEX(H96:N96,$B$1),"&gt;0")=4,0.6,0))))</f>
        <v>0</v>
      </c>
      <c r="H96" s="3">
        <v>-2</v>
      </c>
      <c r="I96" s="3">
        <v>-2</v>
      </c>
      <c r="J96" s="3">
        <v>-2</v>
      </c>
      <c r="K96" s="3">
        <v>-2</v>
      </c>
      <c r="L96" s="3">
        <v>-2</v>
      </c>
      <c r="M96" s="3">
        <v>-2</v>
      </c>
      <c r="N96" s="3"/>
      <c r="O96" s="12">
        <f>0.2*IF(COUNTIF(P96:INDEX(P96:V96,$B$1),"&gt;0")=0,0,
(SUMIF(P96:INDEX(P96:V96,$B$1),"&gt;0",P96:INDEX(P96:V96,$B$1))*$B$1/COUNTIF(P96:INDEX(P96:V96,$B$1),"&gt;0"))*
IF($B$1-COUNTIF(P96:INDEX(P96:V96,$B$1),"&gt;0")&lt;=2,1,
IF($B$1-COUNTIF(P96:INDEX(P96:V96,$B$1),"&gt;0")=3,0.8,
IF($B$1-COUNTIF(P96:INDEX(P96:V96,$B$1),"&gt;0")=4,0.6,0))))</f>
        <v>0</v>
      </c>
      <c r="P96" s="3">
        <v>-2</v>
      </c>
      <c r="Q96" s="3">
        <v>-2</v>
      </c>
      <c r="R96" s="3">
        <v>-2</v>
      </c>
      <c r="S96" s="3">
        <v>-2</v>
      </c>
      <c r="T96" s="3">
        <v>-2</v>
      </c>
      <c r="U96" s="3">
        <v>-2</v>
      </c>
      <c r="W96" s="3">
        <f t="shared" si="50"/>
        <v>20</v>
      </c>
      <c r="X96" s="3"/>
      <c r="AC96" s="3" t="s">
        <v>176</v>
      </c>
      <c r="AE96" s="50">
        <f t="shared" si="51"/>
        <v>0</v>
      </c>
      <c r="AG96" s="12">
        <f t="shared" si="52"/>
        <v>0</v>
      </c>
      <c r="AH96" s="12">
        <f t="shared" si="53"/>
        <v>0</v>
      </c>
      <c r="AI96" s="12"/>
      <c r="AJ96" s="12">
        <f t="shared" si="54"/>
        <v>0</v>
      </c>
      <c r="AK96" s="12">
        <f t="shared" si="55"/>
        <v>0</v>
      </c>
      <c r="AM96" s="12">
        <f t="shared" si="56"/>
        <v>0</v>
      </c>
      <c r="AN96" s="12">
        <f t="shared" si="57"/>
        <v>0</v>
      </c>
      <c r="AP96" s="12">
        <f t="shared" si="58"/>
        <v>0</v>
      </c>
      <c r="AQ96" s="12">
        <f t="shared" si="59"/>
        <v>0</v>
      </c>
      <c r="AS96" s="12">
        <f t="shared" si="60"/>
        <v>0</v>
      </c>
      <c r="AT96" s="12">
        <f t="shared" si="61"/>
        <v>0</v>
      </c>
      <c r="BB96" s="12">
        <f t="shared" si="62"/>
        <v>0</v>
      </c>
      <c r="BC96" s="51">
        <f t="shared" si="63"/>
        <v>0</v>
      </c>
      <c r="BE96" s="20">
        <f t="shared" si="64"/>
        <v>0</v>
      </c>
      <c r="BF96" s="12">
        <f t="shared" si="65"/>
        <v>0</v>
      </c>
      <c r="BJ96" s="24"/>
      <c r="BK96" s="24"/>
      <c r="BM96" s="12">
        <f t="shared" si="66"/>
        <v>0</v>
      </c>
      <c r="BN96" s="45">
        <f t="shared" si="67"/>
        <v>-500</v>
      </c>
      <c r="BO96" s="27">
        <v>-300</v>
      </c>
      <c r="BP96" s="27">
        <v>-200</v>
      </c>
      <c r="BS96" s="27"/>
      <c r="BT96" s="3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</row>
    <row r="97" spans="2:96" ht="20.100000000000001" customHeight="1" x14ac:dyDescent="0.25">
      <c r="B97" s="1">
        <v>95</v>
      </c>
      <c r="C97" s="44">
        <v>91</v>
      </c>
      <c r="D97" s="1" t="str">
        <f t="shared" si="48"/>
        <v>▲4</v>
      </c>
      <c r="E97" s="2" t="s">
        <v>103</v>
      </c>
      <c r="F97" s="47">
        <f t="shared" si="49"/>
        <v>-480</v>
      </c>
      <c r="G97" s="15">
        <f>IF(COUNTIF(H97:INDEX(H97:N97,$B$1),"&gt;0")=0,0,
(SUMIF(H97:INDEX(H97:N97,$B$1),"&gt;0",H97:INDEX(H97:N97,$B$1))*$B$1/COUNTIF(H97:INDEX(H97:N97,$B$1),"&gt;0"))*
IF($B$1-COUNTIF(H97:INDEX(H97:N97,$B$1),"&gt;0")&lt;=2,1,
IF($B$1-COUNTIF(H97:INDEX(H97:N97,$B$1),"&gt;0")=3,0.8,
IF($B$1-COUNTIF(H97:INDEX(H97:N97,$B$1),"&gt;0")=4,0.6,0))))</f>
        <v>0</v>
      </c>
      <c r="H97" s="3">
        <v>-2</v>
      </c>
      <c r="I97" s="3">
        <v>-2</v>
      </c>
      <c r="J97" s="3">
        <v>-2</v>
      </c>
      <c r="K97" s="3">
        <v>-2</v>
      </c>
      <c r="L97" s="3">
        <v>-2</v>
      </c>
      <c r="M97" s="3">
        <v>-2</v>
      </c>
      <c r="N97" s="3"/>
      <c r="O97" s="12">
        <f>0.2*IF(COUNTIF(P97:INDEX(P97:V97,$B$1),"&gt;0")=0,0,
(SUMIF(P97:INDEX(P97:V97,$B$1),"&gt;0",P97:INDEX(P97:V97,$B$1))*$B$1/COUNTIF(P97:INDEX(P97:V97,$B$1),"&gt;0"))*
IF($B$1-COUNTIF(P97:INDEX(P97:V97,$B$1),"&gt;0")&lt;=2,1,
IF($B$1-COUNTIF(P97:INDEX(P97:V97,$B$1),"&gt;0")=3,0.8,
IF($B$1-COUNTIF(P97:INDEX(P97:V97,$B$1),"&gt;0")=4,0.6,0))))</f>
        <v>0</v>
      </c>
      <c r="P97" s="3">
        <v>-2</v>
      </c>
      <c r="Q97" s="3">
        <v>-2</v>
      </c>
      <c r="R97" s="3">
        <v>-2</v>
      </c>
      <c r="S97" s="3">
        <v>-2</v>
      </c>
      <c r="T97" s="3">
        <v>-2</v>
      </c>
      <c r="U97" s="3">
        <v>-2</v>
      </c>
      <c r="W97" s="3">
        <f t="shared" si="50"/>
        <v>20</v>
      </c>
      <c r="X97" s="3"/>
      <c r="AC97" s="3" t="s">
        <v>176</v>
      </c>
      <c r="AE97" s="50">
        <f t="shared" si="51"/>
        <v>0</v>
      </c>
      <c r="AG97" s="12">
        <f t="shared" si="52"/>
        <v>0</v>
      </c>
      <c r="AH97" s="12">
        <f t="shared" si="53"/>
        <v>0</v>
      </c>
      <c r="AI97" s="12"/>
      <c r="AJ97" s="12">
        <f t="shared" si="54"/>
        <v>0</v>
      </c>
      <c r="AK97" s="12">
        <f t="shared" si="55"/>
        <v>0</v>
      </c>
      <c r="AM97" s="12">
        <f t="shared" si="56"/>
        <v>0</v>
      </c>
      <c r="AN97" s="12">
        <f t="shared" si="57"/>
        <v>0</v>
      </c>
      <c r="AP97" s="12">
        <f t="shared" si="58"/>
        <v>0</v>
      </c>
      <c r="AQ97" s="12">
        <f t="shared" si="59"/>
        <v>0</v>
      </c>
      <c r="AS97" s="12">
        <f t="shared" si="60"/>
        <v>0</v>
      </c>
      <c r="AT97" s="12">
        <f t="shared" si="61"/>
        <v>0</v>
      </c>
      <c r="BB97" s="12">
        <f t="shared" si="62"/>
        <v>0</v>
      </c>
      <c r="BC97" s="51">
        <f t="shared" si="63"/>
        <v>0</v>
      </c>
      <c r="BE97" s="20">
        <f t="shared" si="64"/>
        <v>0</v>
      </c>
      <c r="BF97" s="12">
        <f t="shared" si="65"/>
        <v>0</v>
      </c>
      <c r="BJ97" s="24"/>
      <c r="BK97" s="24"/>
      <c r="BM97" s="12">
        <f t="shared" si="66"/>
        <v>0</v>
      </c>
      <c r="BN97" s="45">
        <f t="shared" si="67"/>
        <v>-500</v>
      </c>
      <c r="BO97" s="27">
        <v>-300</v>
      </c>
      <c r="BP97" s="27">
        <v>-200</v>
      </c>
      <c r="BS97" s="27"/>
      <c r="BT97" s="3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</row>
    <row r="98" spans="2:96" ht="20.100000000000001" customHeight="1" x14ac:dyDescent="0.25">
      <c r="B98" s="1"/>
      <c r="C98" s="1"/>
      <c r="D98" s="1"/>
    </row>
    <row r="99" spans="2:96" ht="20.100000000000001" customHeight="1" x14ac:dyDescent="0.25">
      <c r="B99" s="1"/>
      <c r="C99" s="1"/>
      <c r="D99" s="1"/>
    </row>
    <row r="100" spans="2:96" ht="0" hidden="1" customHeight="1" x14ac:dyDescent="0.25">
      <c r="B100" s="1"/>
      <c r="C100" s="1"/>
      <c r="D100" s="1"/>
    </row>
  </sheetData>
  <phoneticPr fontId="2" type="noConversion"/>
  <printOptions horizontalCentered="1" verticalCentered="1"/>
  <pageMargins left="0.25" right="0.25" top="0.75" bottom="0.75" header="0.3" footer="0.3"/>
  <pageSetup paperSize="9" scale="45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0118</vt:lpstr>
      <vt:lpstr>'0118'!Print_Area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Melon</dc:creator>
  <cp:lastModifiedBy>Melon</cp:lastModifiedBy>
  <dcterms:created xsi:type="dcterms:W3CDTF">2026-02-15T16:38:25Z</dcterms:created>
  <dcterms:modified xsi:type="dcterms:W3CDTF">2026-02-22T19:10:14Z</dcterms:modified>
</cp:coreProperties>
</file>