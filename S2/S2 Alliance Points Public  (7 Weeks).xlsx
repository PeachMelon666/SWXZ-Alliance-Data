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Last War\"/>
    </mc:Choice>
  </mc:AlternateContent>
  <xr:revisionPtr revIDLastSave="0" documentId="13_ncr:1_{941CECB0-EBA5-4E2B-9DE3-BA04B644B2F3}" xr6:coauthVersionLast="47" xr6:coauthVersionMax="47" xr10:uidLastSave="{00000000-0000-0000-0000-000000000000}"/>
  <bookViews>
    <workbookView xWindow="-108" yWindow="-108" windowWidth="23256" windowHeight="12456" xr2:uid="{55963CE4-070A-4457-9011-CD92A571433A}"/>
  </bookViews>
  <sheets>
    <sheet name="0118" sheetId="1" r:id="rId1"/>
  </sheets>
  <definedNames>
    <definedName name="_xlnm._FilterDatabase" localSheetId="0" hidden="1">'0118'!$E$4:$T$97</definedName>
    <definedName name="_xlnm.Print_Area" localSheetId="0">'0118'!$E$1:$T$97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Y6" i="1" l="1"/>
  <c r="AY7" i="1"/>
  <c r="AY9" i="1"/>
  <c r="AZ9" i="1" s="1"/>
  <c r="AY8" i="1"/>
  <c r="AY5" i="1"/>
  <c r="AY11" i="1"/>
  <c r="AY10" i="1"/>
  <c r="AY13" i="1"/>
  <c r="AY12" i="1"/>
  <c r="AY15" i="1"/>
  <c r="AY16" i="1"/>
  <c r="AY14" i="1"/>
  <c r="AY17" i="1"/>
  <c r="AY18" i="1"/>
  <c r="AY19" i="1"/>
  <c r="AZ19" i="1" s="1"/>
  <c r="AY20" i="1"/>
  <c r="AZ20" i="1" s="1"/>
  <c r="AY26" i="1"/>
  <c r="AZ26" i="1" s="1"/>
  <c r="AY22" i="1"/>
  <c r="AY21" i="1"/>
  <c r="AZ21" i="1" s="1"/>
  <c r="AY25" i="1"/>
  <c r="AY32" i="1"/>
  <c r="AZ32" i="1" s="1"/>
  <c r="AY24" i="1"/>
  <c r="AY23" i="1"/>
  <c r="AZ23" i="1" s="1"/>
  <c r="AY27" i="1"/>
  <c r="AZ27" i="1" s="1"/>
  <c r="AY28" i="1"/>
  <c r="AZ28" i="1" s="1"/>
  <c r="AY29" i="1"/>
  <c r="AZ29" i="1" s="1"/>
  <c r="AY31" i="1"/>
  <c r="AZ31" i="1" s="1"/>
  <c r="AY30" i="1"/>
  <c r="AZ30" i="1" s="1"/>
  <c r="AY36" i="1"/>
  <c r="AZ36" i="1" s="1"/>
  <c r="AY34" i="1"/>
  <c r="AZ34" i="1" s="1"/>
  <c r="AY33" i="1"/>
  <c r="AY35" i="1"/>
  <c r="AY38" i="1"/>
  <c r="AY40" i="1"/>
  <c r="AZ40" i="1" s="1"/>
  <c r="AY39" i="1"/>
  <c r="AZ39" i="1" s="1"/>
  <c r="AY41" i="1"/>
  <c r="AZ41" i="1" s="1"/>
  <c r="AY42" i="1"/>
  <c r="AZ42" i="1" s="1"/>
  <c r="AY37" i="1"/>
  <c r="AZ37" i="1" s="1"/>
  <c r="AY47" i="1"/>
  <c r="AZ47" i="1" s="1"/>
  <c r="AY46" i="1"/>
  <c r="AZ46" i="1" s="1"/>
  <c r="AY43" i="1"/>
  <c r="AY45" i="1"/>
  <c r="AZ45" i="1" s="1"/>
  <c r="AY50" i="1"/>
  <c r="AZ50" i="1" s="1"/>
  <c r="AY52" i="1"/>
  <c r="AZ52" i="1" s="1"/>
  <c r="AY51" i="1"/>
  <c r="AZ51" i="1" s="1"/>
  <c r="AY48" i="1"/>
  <c r="AY53" i="1"/>
  <c r="AZ53" i="1" s="1"/>
  <c r="AY49" i="1"/>
  <c r="AY55" i="1"/>
  <c r="AZ55" i="1" s="1"/>
  <c r="AY54" i="1"/>
  <c r="AZ54" i="1" s="1"/>
  <c r="AY56" i="1"/>
  <c r="AZ56" i="1" s="1"/>
  <c r="AY58" i="1"/>
  <c r="AZ58" i="1" s="1"/>
  <c r="AY61" i="1"/>
  <c r="AZ61" i="1" s="1"/>
  <c r="AY57" i="1"/>
  <c r="AZ57" i="1" s="1"/>
  <c r="AY59" i="1"/>
  <c r="AZ59" i="1" s="1"/>
  <c r="AY63" i="1"/>
  <c r="AZ63" i="1" s="1"/>
  <c r="AY62" i="1"/>
  <c r="AZ62" i="1" s="1"/>
  <c r="AY60" i="1"/>
  <c r="AZ60" i="1" s="1"/>
  <c r="AY64" i="1"/>
  <c r="AZ64" i="1" s="1"/>
  <c r="AY65" i="1"/>
  <c r="AZ65" i="1" s="1"/>
  <c r="AY70" i="1"/>
  <c r="AZ70" i="1" s="1"/>
  <c r="AY68" i="1"/>
  <c r="AZ68" i="1" s="1"/>
  <c r="AY69" i="1"/>
  <c r="AZ69" i="1" s="1"/>
  <c r="AY66" i="1"/>
  <c r="AZ66" i="1" s="1"/>
  <c r="AY71" i="1"/>
  <c r="AZ71" i="1" s="1"/>
  <c r="AY67" i="1"/>
  <c r="AZ67" i="1" s="1"/>
  <c r="AY72" i="1"/>
  <c r="AZ72" i="1" s="1"/>
  <c r="AY73" i="1"/>
  <c r="AZ73" i="1" s="1"/>
  <c r="AY74" i="1"/>
  <c r="AZ74" i="1" s="1"/>
  <c r="AY76" i="1"/>
  <c r="AZ76" i="1" s="1"/>
  <c r="AY75" i="1"/>
  <c r="AZ75" i="1" s="1"/>
  <c r="AY77" i="1"/>
  <c r="AZ77" i="1" s="1"/>
  <c r="AY80" i="1"/>
  <c r="AZ80" i="1" s="1"/>
  <c r="AY79" i="1"/>
  <c r="AZ79" i="1" s="1"/>
  <c r="AY81" i="1"/>
  <c r="AZ81" i="1" s="1"/>
  <c r="AY82" i="1"/>
  <c r="AZ82" i="1" s="1"/>
  <c r="AY83" i="1"/>
  <c r="AZ83" i="1" s="1"/>
  <c r="AY84" i="1"/>
  <c r="AZ84" i="1" s="1"/>
  <c r="AY85" i="1"/>
  <c r="AZ85" i="1" s="1"/>
  <c r="AY86" i="1"/>
  <c r="AZ86" i="1" s="1"/>
  <c r="AY87" i="1"/>
  <c r="AZ87" i="1" s="1"/>
  <c r="AY88" i="1"/>
  <c r="AZ88" i="1" s="1"/>
  <c r="AY89" i="1"/>
  <c r="AZ89" i="1" s="1"/>
  <c r="AY90" i="1"/>
  <c r="AZ90" i="1" s="1"/>
  <c r="AY91" i="1"/>
  <c r="AZ91" i="1" s="1"/>
  <c r="AY93" i="1"/>
  <c r="AZ93" i="1" s="1"/>
  <c r="AY92" i="1"/>
  <c r="AZ92" i="1" s="1"/>
  <c r="AY94" i="1"/>
  <c r="AZ94" i="1" s="1"/>
  <c r="AY95" i="1"/>
  <c r="AZ95" i="1" s="1"/>
  <c r="AY96" i="1"/>
  <c r="AZ96" i="1" s="1"/>
  <c r="AY97" i="1"/>
  <c r="AZ97" i="1" s="1"/>
  <c r="AY44" i="1"/>
  <c r="AY78" i="1"/>
  <c r="AZ78" i="1" s="1"/>
  <c r="AV6" i="1"/>
  <c r="AV7" i="1"/>
  <c r="AV9" i="1"/>
  <c r="AV8" i="1"/>
  <c r="AV5" i="1"/>
  <c r="AV11" i="1"/>
  <c r="AV10" i="1"/>
  <c r="AV13" i="1"/>
  <c r="AV12" i="1"/>
  <c r="AV15" i="1"/>
  <c r="AV16" i="1"/>
  <c r="AV14" i="1"/>
  <c r="AV17" i="1"/>
  <c r="AV18" i="1"/>
  <c r="AV19" i="1"/>
  <c r="AV20" i="1"/>
  <c r="AV26" i="1"/>
  <c r="AV22" i="1"/>
  <c r="AV21" i="1"/>
  <c r="AV25" i="1"/>
  <c r="AW25" i="1" s="1"/>
  <c r="AV32" i="1"/>
  <c r="AW32" i="1" s="1"/>
  <c r="AV24" i="1"/>
  <c r="AW24" i="1" s="1"/>
  <c r="AV23" i="1"/>
  <c r="AW23" i="1" s="1"/>
  <c r="AV27" i="1"/>
  <c r="AV28" i="1"/>
  <c r="AV29" i="1"/>
  <c r="AV31" i="1"/>
  <c r="AV30" i="1"/>
  <c r="AV36" i="1"/>
  <c r="AW36" i="1" s="1"/>
  <c r="AV34" i="1"/>
  <c r="AV33" i="1"/>
  <c r="AW33" i="1" s="1"/>
  <c r="AV35" i="1"/>
  <c r="AV38" i="1"/>
  <c r="AV40" i="1"/>
  <c r="AV39" i="1"/>
  <c r="AV41" i="1"/>
  <c r="AV42" i="1"/>
  <c r="AV37" i="1"/>
  <c r="AV47" i="1"/>
  <c r="AW47" i="1" s="1"/>
  <c r="AV46" i="1"/>
  <c r="AW46" i="1" s="1"/>
  <c r="AV43" i="1"/>
  <c r="AV45" i="1"/>
  <c r="AW45" i="1" s="1"/>
  <c r="AV50" i="1"/>
  <c r="AW50" i="1" s="1"/>
  <c r="AV52" i="1"/>
  <c r="AW52" i="1" s="1"/>
  <c r="AV51" i="1"/>
  <c r="AW51" i="1" s="1"/>
  <c r="AV48" i="1"/>
  <c r="AV53" i="1"/>
  <c r="AW53" i="1" s="1"/>
  <c r="AV49" i="1"/>
  <c r="AW49" i="1" s="1"/>
  <c r="AV55" i="1"/>
  <c r="AV54" i="1"/>
  <c r="AW54" i="1" s="1"/>
  <c r="AV56" i="1"/>
  <c r="AW56" i="1" s="1"/>
  <c r="AV58" i="1"/>
  <c r="AW58" i="1" s="1"/>
  <c r="AV61" i="1"/>
  <c r="AV57" i="1"/>
  <c r="AW57" i="1" s="1"/>
  <c r="AV59" i="1"/>
  <c r="AV63" i="1"/>
  <c r="AW63" i="1" s="1"/>
  <c r="AV62" i="1"/>
  <c r="AW62" i="1" s="1"/>
  <c r="AV60" i="1"/>
  <c r="AW60" i="1" s="1"/>
  <c r="AV64" i="1"/>
  <c r="AW64" i="1" s="1"/>
  <c r="AV65" i="1"/>
  <c r="AW65" i="1" s="1"/>
  <c r="AV70" i="1"/>
  <c r="AV68" i="1"/>
  <c r="AW68" i="1" s="1"/>
  <c r="AV69" i="1"/>
  <c r="AW69" i="1" s="1"/>
  <c r="AV66" i="1"/>
  <c r="AW66" i="1" s="1"/>
  <c r="AV71" i="1"/>
  <c r="AW71" i="1" s="1"/>
  <c r="AV67" i="1"/>
  <c r="AW67" i="1" s="1"/>
  <c r="AV72" i="1"/>
  <c r="AW72" i="1" s="1"/>
  <c r="AV73" i="1"/>
  <c r="AW73" i="1" s="1"/>
  <c r="AV74" i="1"/>
  <c r="AW74" i="1" s="1"/>
  <c r="AV76" i="1"/>
  <c r="AW76" i="1" s="1"/>
  <c r="AV75" i="1"/>
  <c r="AW75" i="1" s="1"/>
  <c r="AV77" i="1"/>
  <c r="AW77" i="1" s="1"/>
  <c r="AV80" i="1"/>
  <c r="AW80" i="1" s="1"/>
  <c r="AV79" i="1"/>
  <c r="AW79" i="1" s="1"/>
  <c r="AV81" i="1"/>
  <c r="AW81" i="1" s="1"/>
  <c r="AV82" i="1"/>
  <c r="AW82" i="1" s="1"/>
  <c r="AV83" i="1"/>
  <c r="AW83" i="1" s="1"/>
  <c r="AV84" i="1"/>
  <c r="AV85" i="1"/>
  <c r="AW85" i="1" s="1"/>
  <c r="AV86" i="1"/>
  <c r="AW86" i="1" s="1"/>
  <c r="AV87" i="1"/>
  <c r="AW87" i="1" s="1"/>
  <c r="AV88" i="1"/>
  <c r="AW88" i="1" s="1"/>
  <c r="AV89" i="1"/>
  <c r="AW89" i="1" s="1"/>
  <c r="AV90" i="1"/>
  <c r="AW90" i="1" s="1"/>
  <c r="AV91" i="1"/>
  <c r="AW91" i="1" s="1"/>
  <c r="AV93" i="1"/>
  <c r="AW93" i="1" s="1"/>
  <c r="AV92" i="1"/>
  <c r="AW92" i="1" s="1"/>
  <c r="AV94" i="1"/>
  <c r="AW94" i="1" s="1"/>
  <c r="AV95" i="1"/>
  <c r="AW95" i="1" s="1"/>
  <c r="AV96" i="1"/>
  <c r="AW96" i="1" s="1"/>
  <c r="AV97" i="1"/>
  <c r="AW97" i="1" s="1"/>
  <c r="AV44" i="1"/>
  <c r="AV78" i="1"/>
  <c r="AW78" i="1" s="1"/>
  <c r="BH54" i="1"/>
  <c r="BH58" i="1"/>
  <c r="BH57" i="1"/>
  <c r="BH63" i="1"/>
  <c r="BH64" i="1"/>
  <c r="BH65" i="1"/>
  <c r="BH68" i="1"/>
  <c r="BH74" i="1"/>
  <c r="BH75" i="1"/>
  <c r="BH77" i="1"/>
  <c r="BH84" i="1"/>
  <c r="BH85" i="1"/>
  <c r="BH86" i="1"/>
  <c r="BH87" i="1"/>
  <c r="BH91" i="1"/>
  <c r="BH93" i="1"/>
  <c r="BH94" i="1"/>
  <c r="BH95" i="1"/>
  <c r="BH96" i="1"/>
  <c r="BH97" i="1"/>
  <c r="BH78" i="1"/>
  <c r="O6" i="1" l="1"/>
  <c r="O7" i="1"/>
  <c r="O9" i="1"/>
  <c r="O8" i="1"/>
  <c r="O5" i="1"/>
  <c r="O11" i="1"/>
  <c r="O10" i="1"/>
  <c r="O13" i="1"/>
  <c r="O12" i="1"/>
  <c r="O15" i="1"/>
  <c r="O16" i="1"/>
  <c r="O14" i="1"/>
  <c r="O17" i="1"/>
  <c r="O18" i="1"/>
  <c r="O19" i="1"/>
  <c r="O20" i="1"/>
  <c r="O26" i="1"/>
  <c r="O22" i="1"/>
  <c r="O21" i="1"/>
  <c r="O25" i="1"/>
  <c r="O32" i="1"/>
  <c r="O24" i="1"/>
  <c r="O23" i="1"/>
  <c r="O27" i="1"/>
  <c r="O28" i="1"/>
  <c r="O29" i="1"/>
  <c r="O31" i="1"/>
  <c r="O30" i="1"/>
  <c r="O36" i="1"/>
  <c r="O34" i="1"/>
  <c r="O33" i="1"/>
  <c r="O35" i="1"/>
  <c r="O38" i="1"/>
  <c r="O40" i="1"/>
  <c r="O39" i="1"/>
  <c r="O41" i="1"/>
  <c r="O42" i="1"/>
  <c r="O37" i="1"/>
  <c r="O47" i="1"/>
  <c r="O46" i="1"/>
  <c r="O43" i="1"/>
  <c r="O45" i="1"/>
  <c r="O50" i="1"/>
  <c r="O52" i="1"/>
  <c r="O51" i="1"/>
  <c r="O48" i="1"/>
  <c r="O53" i="1"/>
  <c r="O49" i="1"/>
  <c r="O55" i="1"/>
  <c r="O54" i="1"/>
  <c r="O56" i="1"/>
  <c r="O58" i="1"/>
  <c r="O61" i="1"/>
  <c r="O57" i="1"/>
  <c r="O59" i="1"/>
  <c r="O63" i="1"/>
  <c r="O62" i="1"/>
  <c r="O60" i="1"/>
  <c r="O64" i="1"/>
  <c r="O65" i="1"/>
  <c r="O70" i="1"/>
  <c r="O68" i="1"/>
  <c r="O69" i="1"/>
  <c r="O66" i="1"/>
  <c r="O71" i="1"/>
  <c r="O67" i="1"/>
  <c r="O72" i="1"/>
  <c r="O73" i="1"/>
  <c r="O74" i="1"/>
  <c r="O76" i="1"/>
  <c r="O75" i="1"/>
  <c r="O77" i="1"/>
  <c r="O80" i="1"/>
  <c r="O79" i="1"/>
  <c r="O81" i="1"/>
  <c r="O82" i="1"/>
  <c r="O83" i="1"/>
  <c r="O84" i="1"/>
  <c r="O85" i="1"/>
  <c r="O86" i="1"/>
  <c r="O87" i="1"/>
  <c r="O88" i="1"/>
  <c r="O89" i="1"/>
  <c r="O90" i="1"/>
  <c r="O91" i="1"/>
  <c r="O93" i="1"/>
  <c r="O92" i="1"/>
  <c r="O94" i="1"/>
  <c r="O95" i="1"/>
  <c r="O96" i="1"/>
  <c r="O97" i="1"/>
  <c r="O44" i="1"/>
  <c r="O78" i="1"/>
  <c r="G6" i="1"/>
  <c r="G7" i="1"/>
  <c r="G9" i="1"/>
  <c r="G8" i="1"/>
  <c r="G5" i="1"/>
  <c r="G11" i="1"/>
  <c r="G10" i="1"/>
  <c r="G13" i="1"/>
  <c r="G12" i="1"/>
  <c r="G15" i="1"/>
  <c r="G16" i="1"/>
  <c r="G14" i="1"/>
  <c r="G17" i="1"/>
  <c r="G18" i="1"/>
  <c r="G19" i="1"/>
  <c r="G20" i="1"/>
  <c r="G26" i="1"/>
  <c r="G22" i="1"/>
  <c r="G21" i="1"/>
  <c r="G25" i="1"/>
  <c r="G32" i="1"/>
  <c r="G24" i="1"/>
  <c r="G23" i="1"/>
  <c r="G27" i="1"/>
  <c r="G28" i="1"/>
  <c r="G29" i="1"/>
  <c r="G31" i="1"/>
  <c r="G30" i="1"/>
  <c r="G36" i="1"/>
  <c r="G34" i="1"/>
  <c r="G33" i="1"/>
  <c r="G35" i="1"/>
  <c r="G38" i="1"/>
  <c r="G40" i="1"/>
  <c r="G39" i="1"/>
  <c r="G41" i="1"/>
  <c r="G42" i="1"/>
  <c r="G37" i="1"/>
  <c r="G47" i="1"/>
  <c r="G46" i="1"/>
  <c r="G43" i="1"/>
  <c r="G45" i="1"/>
  <c r="G50" i="1"/>
  <c r="G52" i="1"/>
  <c r="G51" i="1"/>
  <c r="G48" i="1"/>
  <c r="G53" i="1"/>
  <c r="G49" i="1"/>
  <c r="G55" i="1"/>
  <c r="G54" i="1"/>
  <c r="G56" i="1"/>
  <c r="G58" i="1"/>
  <c r="G61" i="1"/>
  <c r="G57" i="1"/>
  <c r="G59" i="1"/>
  <c r="G63" i="1"/>
  <c r="G62" i="1"/>
  <c r="G60" i="1"/>
  <c r="G64" i="1"/>
  <c r="G65" i="1"/>
  <c r="G70" i="1"/>
  <c r="G68" i="1"/>
  <c r="G69" i="1"/>
  <c r="G66" i="1"/>
  <c r="G71" i="1"/>
  <c r="G67" i="1"/>
  <c r="G72" i="1"/>
  <c r="G73" i="1"/>
  <c r="G74" i="1"/>
  <c r="G76" i="1"/>
  <c r="G75" i="1"/>
  <c r="G77" i="1"/>
  <c r="G80" i="1"/>
  <c r="G79" i="1"/>
  <c r="G81" i="1"/>
  <c r="G82" i="1"/>
  <c r="G83" i="1"/>
  <c r="G84" i="1"/>
  <c r="G85" i="1"/>
  <c r="G86" i="1"/>
  <c r="G87" i="1"/>
  <c r="G88" i="1"/>
  <c r="G89" i="1"/>
  <c r="G90" i="1"/>
  <c r="G91" i="1"/>
  <c r="G93" i="1"/>
  <c r="G92" i="1"/>
  <c r="G94" i="1"/>
  <c r="G95" i="1"/>
  <c r="G96" i="1"/>
  <c r="G97" i="1"/>
  <c r="G44" i="1"/>
  <c r="G78" i="1"/>
  <c r="D44" i="1"/>
  <c r="W44" i="1"/>
  <c r="AG44" i="1"/>
  <c r="AH44" i="1" s="1"/>
  <c r="AJ44" i="1"/>
  <c r="AK44" i="1" s="1"/>
  <c r="AM44" i="1"/>
  <c r="AN44" i="1" s="1"/>
  <c r="AP44" i="1"/>
  <c r="AQ44" i="1" s="1"/>
  <c r="AS44" i="1"/>
  <c r="AT44" i="1" s="1"/>
  <c r="BB44" i="1"/>
  <c r="BE44" i="1"/>
  <c r="BK44" i="1"/>
  <c r="D78" i="1"/>
  <c r="W78" i="1"/>
  <c r="AG78" i="1"/>
  <c r="AH78" i="1" s="1"/>
  <c r="AJ78" i="1"/>
  <c r="AK78" i="1" s="1"/>
  <c r="AM78" i="1"/>
  <c r="AN78" i="1" s="1"/>
  <c r="AP78" i="1"/>
  <c r="AQ78" i="1" s="1"/>
  <c r="AS78" i="1"/>
  <c r="AT78" i="1" s="1"/>
  <c r="BB78" i="1"/>
  <c r="BC78" i="1" s="1"/>
  <c r="BE78" i="1"/>
  <c r="BF78" i="1" s="1"/>
  <c r="BK78" i="1"/>
  <c r="AV99" i="1"/>
  <c r="AW39" i="1" s="1"/>
  <c r="AY99" i="1"/>
  <c r="AZ18" i="1" s="1"/>
  <c r="BG99" i="1"/>
  <c r="AW41" i="1" l="1"/>
  <c r="AW61" i="1"/>
  <c r="AW84" i="1"/>
  <c r="AZ5" i="1"/>
  <c r="AZ24" i="1"/>
  <c r="AW55" i="1"/>
  <c r="AZ13" i="1"/>
  <c r="AZ6" i="1"/>
  <c r="AW44" i="1"/>
  <c r="AW70" i="1"/>
  <c r="AZ8" i="1"/>
  <c r="AZ17" i="1"/>
  <c r="AZ48" i="1"/>
  <c r="AZ10" i="1"/>
  <c r="AZ35" i="1"/>
  <c r="AZ12" i="1"/>
  <c r="AZ7" i="1"/>
  <c r="AZ16" i="1"/>
  <c r="AZ14" i="1"/>
  <c r="AW13" i="1"/>
  <c r="AW6" i="1"/>
  <c r="AZ33" i="1"/>
  <c r="AZ49" i="1"/>
  <c r="AZ38" i="1"/>
  <c r="AZ15" i="1"/>
  <c r="AW11" i="1"/>
  <c r="AZ25" i="1"/>
  <c r="AW20" i="1"/>
  <c r="AW12" i="1"/>
  <c r="AW7" i="1"/>
  <c r="AW9" i="1"/>
  <c r="AZ43" i="1"/>
  <c r="AZ22" i="1"/>
  <c r="AW18" i="1"/>
  <c r="AZ44" i="1"/>
  <c r="AW27" i="1"/>
  <c r="AW26" i="1"/>
  <c r="AW15" i="1"/>
  <c r="AW16" i="1"/>
  <c r="AW8" i="1"/>
  <c r="AW5" i="1"/>
  <c r="AW34" i="1"/>
  <c r="AW10" i="1"/>
  <c r="AW35" i="1"/>
  <c r="AW28" i="1"/>
  <c r="AW22" i="1"/>
  <c r="AW21" i="1"/>
  <c r="AW14" i="1"/>
  <c r="AW17" i="1"/>
  <c r="AW37" i="1"/>
  <c r="AW19" i="1"/>
  <c r="AZ11" i="1"/>
  <c r="AW38" i="1"/>
  <c r="AW29" i="1"/>
  <c r="AW31" i="1"/>
  <c r="BH11" i="1"/>
  <c r="BH18" i="1"/>
  <c r="BH24" i="1"/>
  <c r="BH34" i="1"/>
  <c r="BH37" i="1"/>
  <c r="BH48" i="1"/>
  <c r="BH76" i="1"/>
  <c r="BH6" i="1"/>
  <c r="BH10" i="1"/>
  <c r="BH19" i="1"/>
  <c r="BH23" i="1"/>
  <c r="BH33" i="1"/>
  <c r="BH47" i="1"/>
  <c r="BH53" i="1"/>
  <c r="BH59" i="1"/>
  <c r="BH69" i="1"/>
  <c r="BH92" i="1"/>
  <c r="BH13" i="1"/>
  <c r="BH20" i="1"/>
  <c r="BH27" i="1"/>
  <c r="BH35" i="1"/>
  <c r="BH46" i="1"/>
  <c r="BH49" i="1"/>
  <c r="BH66" i="1"/>
  <c r="BH12" i="1"/>
  <c r="BH26" i="1"/>
  <c r="BH28" i="1"/>
  <c r="BH38" i="1"/>
  <c r="BH43" i="1"/>
  <c r="BH55" i="1"/>
  <c r="BH62" i="1"/>
  <c r="BH71" i="1"/>
  <c r="BH80" i="1"/>
  <c r="BH7" i="1"/>
  <c r="BH15" i="1"/>
  <c r="BH22" i="1"/>
  <c r="BH29" i="1"/>
  <c r="BH40" i="1"/>
  <c r="BH45" i="1"/>
  <c r="BH60" i="1"/>
  <c r="BH67" i="1"/>
  <c r="BH79" i="1"/>
  <c r="BH88" i="1"/>
  <c r="BH9" i="1"/>
  <c r="BH16" i="1"/>
  <c r="BH21" i="1"/>
  <c r="BH31" i="1"/>
  <c r="BH39" i="1"/>
  <c r="BH50" i="1"/>
  <c r="BH56" i="1"/>
  <c r="BH72" i="1"/>
  <c r="BH81" i="1"/>
  <c r="BH89" i="1"/>
  <c r="BH8" i="1"/>
  <c r="BH14" i="1"/>
  <c r="BH25" i="1"/>
  <c r="BH30" i="1"/>
  <c r="BH41" i="1"/>
  <c r="BH52" i="1"/>
  <c r="BH73" i="1"/>
  <c r="BH82" i="1"/>
  <c r="BH90" i="1"/>
  <c r="BH44" i="1"/>
  <c r="BH5" i="1"/>
  <c r="BH17" i="1"/>
  <c r="BH32" i="1"/>
  <c r="BH36" i="1"/>
  <c r="BH42" i="1"/>
  <c r="BH51" i="1"/>
  <c r="BH61" i="1"/>
  <c r="BH70" i="1"/>
  <c r="BH83" i="1"/>
  <c r="AW30" i="1"/>
  <c r="AW42" i="1"/>
  <c r="AW48" i="1"/>
  <c r="AW59" i="1"/>
  <c r="AW43" i="1"/>
  <c r="AW40" i="1"/>
  <c r="AE78" i="1"/>
  <c r="BB6" i="1"/>
  <c r="BB7" i="1"/>
  <c r="BB5" i="1"/>
  <c r="BB8" i="1"/>
  <c r="BB12" i="1"/>
  <c r="BB15" i="1"/>
  <c r="BB17" i="1"/>
  <c r="BB9" i="1"/>
  <c r="BB10" i="1"/>
  <c r="BB16" i="1"/>
  <c r="BB13" i="1"/>
  <c r="BB11" i="1"/>
  <c r="BB18" i="1"/>
  <c r="BB14" i="1"/>
  <c r="BB19" i="1"/>
  <c r="BB20" i="1"/>
  <c r="BC20" i="1" s="1"/>
  <c r="BB32" i="1"/>
  <c r="BB21" i="1"/>
  <c r="BB22" i="1"/>
  <c r="BB25" i="1"/>
  <c r="BB24" i="1"/>
  <c r="BB26" i="1"/>
  <c r="BB28" i="1"/>
  <c r="BB23" i="1"/>
  <c r="BB27" i="1"/>
  <c r="BC27" i="1" s="1"/>
  <c r="BB29" i="1"/>
  <c r="BC29" i="1" s="1"/>
  <c r="BB36" i="1"/>
  <c r="BB30" i="1"/>
  <c r="BB34" i="1"/>
  <c r="BB31" i="1"/>
  <c r="BB33" i="1"/>
  <c r="BB35" i="1"/>
  <c r="BB72" i="1"/>
  <c r="BB60" i="1"/>
  <c r="BB38" i="1"/>
  <c r="BB66" i="1"/>
  <c r="BB37" i="1"/>
  <c r="BC37" i="1" s="1"/>
  <c r="BB41" i="1"/>
  <c r="BB46" i="1"/>
  <c r="BC46" i="1" s="1"/>
  <c r="BB67" i="1"/>
  <c r="BC67" i="1" s="1"/>
  <c r="BB40" i="1"/>
  <c r="BB47" i="1"/>
  <c r="BC47" i="1" s="1"/>
  <c r="BB39" i="1"/>
  <c r="BC39" i="1" s="1"/>
  <c r="BB43" i="1"/>
  <c r="BB45" i="1"/>
  <c r="BB42" i="1"/>
  <c r="BB52" i="1"/>
  <c r="BB51" i="1"/>
  <c r="BC51" i="1" s="1"/>
  <c r="BB50" i="1"/>
  <c r="BB79" i="1"/>
  <c r="BC79" i="1" s="1"/>
  <c r="BB48" i="1"/>
  <c r="BB54" i="1"/>
  <c r="BC54" i="1" s="1"/>
  <c r="BB53" i="1"/>
  <c r="BC53" i="1" s="1"/>
  <c r="BB49" i="1"/>
  <c r="BB55" i="1"/>
  <c r="BC55" i="1" s="1"/>
  <c r="BB59" i="1"/>
  <c r="BC59" i="1" s="1"/>
  <c r="BB69" i="1"/>
  <c r="BC69" i="1" s="1"/>
  <c r="BB62" i="1"/>
  <c r="BB61" i="1"/>
  <c r="BC61" i="1" s="1"/>
  <c r="BB58" i="1"/>
  <c r="BB82" i="1"/>
  <c r="BC82" i="1" s="1"/>
  <c r="BB56" i="1"/>
  <c r="BB84" i="1"/>
  <c r="BC84" i="1" s="1"/>
  <c r="BB57" i="1"/>
  <c r="BC57" i="1" s="1"/>
  <c r="BB63" i="1"/>
  <c r="BC63" i="1" s="1"/>
  <c r="BB83" i="1"/>
  <c r="BC83" i="1" s="1"/>
  <c r="BB74" i="1"/>
  <c r="BB76" i="1"/>
  <c r="BC76" i="1" s="1"/>
  <c r="BB64" i="1"/>
  <c r="BC64" i="1" s="1"/>
  <c r="BB75" i="1"/>
  <c r="BC75" i="1" s="1"/>
  <c r="BB86" i="1"/>
  <c r="BC86" i="1" s="1"/>
  <c r="BB80" i="1"/>
  <c r="BC80" i="1" s="1"/>
  <c r="BB77" i="1"/>
  <c r="BC77" i="1" s="1"/>
  <c r="BB68" i="1"/>
  <c r="BC68" i="1" s="1"/>
  <c r="BB87" i="1"/>
  <c r="BC87" i="1" s="1"/>
  <c r="BB65" i="1"/>
  <c r="BC65" i="1" s="1"/>
  <c r="BB71" i="1"/>
  <c r="BC71" i="1" s="1"/>
  <c r="BB70" i="1"/>
  <c r="BC70" i="1" s="1"/>
  <c r="BB89" i="1"/>
  <c r="BC89" i="1" s="1"/>
  <c r="BB88" i="1"/>
  <c r="BC88" i="1" s="1"/>
  <c r="BB92" i="1"/>
  <c r="BC92" i="1" s="1"/>
  <c r="BB81" i="1"/>
  <c r="BC81" i="1" s="1"/>
  <c r="BB90" i="1"/>
  <c r="BC90" i="1" s="1"/>
  <c r="BB91" i="1"/>
  <c r="BC91" i="1" s="1"/>
  <c r="BB85" i="1"/>
  <c r="BC85" i="1" s="1"/>
  <c r="BB93" i="1"/>
  <c r="BC93" i="1" s="1"/>
  <c r="BB73" i="1"/>
  <c r="BC73" i="1" s="1"/>
  <c r="BB94" i="1"/>
  <c r="BC94" i="1" s="1"/>
  <c r="BB95" i="1"/>
  <c r="BC95" i="1" s="1"/>
  <c r="BB96" i="1"/>
  <c r="BC96" i="1" s="1"/>
  <c r="BB97" i="1"/>
  <c r="BC97" i="1" s="1"/>
  <c r="AS6" i="1"/>
  <c r="AS7" i="1"/>
  <c r="AS5" i="1"/>
  <c r="AS8" i="1"/>
  <c r="AS12" i="1"/>
  <c r="AT12" i="1" s="1"/>
  <c r="AS15" i="1"/>
  <c r="AS17" i="1"/>
  <c r="AS9" i="1"/>
  <c r="AS10" i="1"/>
  <c r="AS16" i="1"/>
  <c r="AS13" i="1"/>
  <c r="AS11" i="1"/>
  <c r="AS18" i="1"/>
  <c r="AS14" i="1"/>
  <c r="AS19" i="1"/>
  <c r="AS20" i="1"/>
  <c r="AS32" i="1"/>
  <c r="AT32" i="1" s="1"/>
  <c r="AS21" i="1"/>
  <c r="AT21" i="1" s="1"/>
  <c r="AS22" i="1"/>
  <c r="AS25" i="1"/>
  <c r="AS24" i="1"/>
  <c r="AT24" i="1" s="1"/>
  <c r="AS26" i="1"/>
  <c r="AT26" i="1" s="1"/>
  <c r="AS28" i="1"/>
  <c r="AT28" i="1" s="1"/>
  <c r="AS23" i="1"/>
  <c r="AT23" i="1" s="1"/>
  <c r="AS27" i="1"/>
  <c r="AS29" i="1"/>
  <c r="AT29" i="1" s="1"/>
  <c r="AS36" i="1"/>
  <c r="AT36" i="1" s="1"/>
  <c r="AS30" i="1"/>
  <c r="AS34" i="1"/>
  <c r="AS31" i="1"/>
  <c r="AS33" i="1"/>
  <c r="AT33" i="1" s="1"/>
  <c r="AS35" i="1"/>
  <c r="AS72" i="1"/>
  <c r="AT72" i="1" s="1"/>
  <c r="AS60" i="1"/>
  <c r="AT60" i="1" s="1"/>
  <c r="AS38" i="1"/>
  <c r="AS66" i="1"/>
  <c r="AT66" i="1" s="1"/>
  <c r="AS37" i="1"/>
  <c r="AT37" i="1" s="1"/>
  <c r="AS41" i="1"/>
  <c r="AS46" i="1"/>
  <c r="AT46" i="1" s="1"/>
  <c r="AS67" i="1"/>
  <c r="AT67" i="1" s="1"/>
  <c r="AS40" i="1"/>
  <c r="AT40" i="1" s="1"/>
  <c r="AS47" i="1"/>
  <c r="AS39" i="1"/>
  <c r="AS43" i="1"/>
  <c r="AS45" i="1"/>
  <c r="AT45" i="1" s="1"/>
  <c r="AS42" i="1"/>
  <c r="AT42" i="1" s="1"/>
  <c r="AS52" i="1"/>
  <c r="AT52" i="1" s="1"/>
  <c r="AS51" i="1"/>
  <c r="AT51" i="1" s="1"/>
  <c r="AS50" i="1"/>
  <c r="AS79" i="1"/>
  <c r="AT79" i="1" s="1"/>
  <c r="AS48" i="1"/>
  <c r="AS54" i="1"/>
  <c r="AT54" i="1" s="1"/>
  <c r="AS53" i="1"/>
  <c r="AT53" i="1" s="1"/>
  <c r="AS49" i="1"/>
  <c r="AT49" i="1" s="1"/>
  <c r="AS55" i="1"/>
  <c r="AT55" i="1" s="1"/>
  <c r="AS59" i="1"/>
  <c r="AT59" i="1" s="1"/>
  <c r="AS69" i="1"/>
  <c r="AT69" i="1" s="1"/>
  <c r="AS62" i="1"/>
  <c r="AT62" i="1" s="1"/>
  <c r="AS61" i="1"/>
  <c r="AT61" i="1" s="1"/>
  <c r="AS58" i="1"/>
  <c r="AT58" i="1" s="1"/>
  <c r="AS82" i="1"/>
  <c r="AT82" i="1" s="1"/>
  <c r="AS56" i="1"/>
  <c r="AT56" i="1" s="1"/>
  <c r="AS84" i="1"/>
  <c r="AT84" i="1" s="1"/>
  <c r="AS57" i="1"/>
  <c r="AT57" i="1" s="1"/>
  <c r="AS63" i="1"/>
  <c r="AT63" i="1" s="1"/>
  <c r="AS83" i="1"/>
  <c r="AT83" i="1" s="1"/>
  <c r="AS74" i="1"/>
  <c r="AT74" i="1" s="1"/>
  <c r="AS76" i="1"/>
  <c r="AT76" i="1" s="1"/>
  <c r="AS64" i="1"/>
  <c r="AT64" i="1" s="1"/>
  <c r="AS75" i="1"/>
  <c r="AT75" i="1" s="1"/>
  <c r="AS86" i="1"/>
  <c r="AT86" i="1" s="1"/>
  <c r="AS80" i="1"/>
  <c r="AT80" i="1" s="1"/>
  <c r="AS77" i="1"/>
  <c r="AT77" i="1" s="1"/>
  <c r="AS68" i="1"/>
  <c r="AT68" i="1" s="1"/>
  <c r="AS87" i="1"/>
  <c r="AT87" i="1" s="1"/>
  <c r="AS65" i="1"/>
  <c r="AT65" i="1" s="1"/>
  <c r="AS71" i="1"/>
  <c r="AT71" i="1" s="1"/>
  <c r="AS70" i="1"/>
  <c r="AT70" i="1" s="1"/>
  <c r="AS89" i="1"/>
  <c r="AT89" i="1" s="1"/>
  <c r="AS88" i="1"/>
  <c r="AT88" i="1" s="1"/>
  <c r="AS92" i="1"/>
  <c r="AT92" i="1" s="1"/>
  <c r="AS81" i="1"/>
  <c r="AT81" i="1" s="1"/>
  <c r="AS90" i="1"/>
  <c r="AT90" i="1" s="1"/>
  <c r="AS91" i="1"/>
  <c r="AT91" i="1" s="1"/>
  <c r="AS85" i="1"/>
  <c r="AT85" i="1" s="1"/>
  <c r="AS93" i="1"/>
  <c r="AT93" i="1" s="1"/>
  <c r="AS73" i="1"/>
  <c r="AT73" i="1" s="1"/>
  <c r="AS94" i="1"/>
  <c r="AT94" i="1" s="1"/>
  <c r="AS95" i="1"/>
  <c r="AT95" i="1" s="1"/>
  <c r="AS96" i="1"/>
  <c r="AT96" i="1" s="1"/>
  <c r="AS97" i="1"/>
  <c r="AT97" i="1" s="1"/>
  <c r="AP6" i="1"/>
  <c r="AP7" i="1"/>
  <c r="AP5" i="1"/>
  <c r="AP8" i="1"/>
  <c r="AP12" i="1"/>
  <c r="AQ12" i="1" s="1"/>
  <c r="AP15" i="1"/>
  <c r="AP17" i="1"/>
  <c r="AQ17" i="1" s="1"/>
  <c r="AP9" i="1"/>
  <c r="AP10" i="1"/>
  <c r="AP16" i="1"/>
  <c r="AP13" i="1"/>
  <c r="AP11" i="1"/>
  <c r="AP18" i="1"/>
  <c r="AP14" i="1"/>
  <c r="AP19" i="1"/>
  <c r="AQ19" i="1" s="1"/>
  <c r="AP20" i="1"/>
  <c r="AQ20" i="1" s="1"/>
  <c r="AP32" i="1"/>
  <c r="AQ32" i="1" s="1"/>
  <c r="AP21" i="1"/>
  <c r="AQ21" i="1" s="1"/>
  <c r="AP22" i="1"/>
  <c r="AQ22" i="1" s="1"/>
  <c r="AP25" i="1"/>
  <c r="AQ25" i="1" s="1"/>
  <c r="AP24" i="1"/>
  <c r="AQ24" i="1" s="1"/>
  <c r="AP26" i="1"/>
  <c r="AP28" i="1"/>
  <c r="AQ28" i="1" s="1"/>
  <c r="AP23" i="1"/>
  <c r="AQ23" i="1" s="1"/>
  <c r="AP27" i="1"/>
  <c r="AQ27" i="1" s="1"/>
  <c r="AP29" i="1"/>
  <c r="AQ29" i="1" s="1"/>
  <c r="AP36" i="1"/>
  <c r="AQ36" i="1" s="1"/>
  <c r="AP30" i="1"/>
  <c r="AQ30" i="1" s="1"/>
  <c r="AP34" i="1"/>
  <c r="AQ34" i="1" s="1"/>
  <c r="AP31" i="1"/>
  <c r="AQ31" i="1" s="1"/>
  <c r="AP33" i="1"/>
  <c r="AQ33" i="1" s="1"/>
  <c r="AP35" i="1"/>
  <c r="AQ35" i="1" s="1"/>
  <c r="AP72" i="1"/>
  <c r="AQ72" i="1" s="1"/>
  <c r="AP60" i="1"/>
  <c r="AQ60" i="1" s="1"/>
  <c r="AP38" i="1"/>
  <c r="AQ38" i="1" s="1"/>
  <c r="AP66" i="1"/>
  <c r="AQ66" i="1" s="1"/>
  <c r="AP37" i="1"/>
  <c r="AQ37" i="1" s="1"/>
  <c r="AP41" i="1"/>
  <c r="AQ41" i="1" s="1"/>
  <c r="AP46" i="1"/>
  <c r="AQ46" i="1" s="1"/>
  <c r="AP67" i="1"/>
  <c r="AQ67" i="1" s="1"/>
  <c r="AP40" i="1"/>
  <c r="AQ40" i="1" s="1"/>
  <c r="AP47" i="1"/>
  <c r="AQ47" i="1" s="1"/>
  <c r="AP39" i="1"/>
  <c r="AQ39" i="1" s="1"/>
  <c r="AP43" i="1"/>
  <c r="AQ43" i="1" s="1"/>
  <c r="AP45" i="1"/>
  <c r="AQ45" i="1" s="1"/>
  <c r="AP42" i="1"/>
  <c r="AQ42" i="1" s="1"/>
  <c r="AP52" i="1"/>
  <c r="AQ52" i="1" s="1"/>
  <c r="AP51" i="1"/>
  <c r="AQ51" i="1" s="1"/>
  <c r="AP50" i="1"/>
  <c r="AQ50" i="1" s="1"/>
  <c r="AP79" i="1"/>
  <c r="AQ79" i="1" s="1"/>
  <c r="AP48" i="1"/>
  <c r="AQ48" i="1" s="1"/>
  <c r="AP54" i="1"/>
  <c r="AQ54" i="1" s="1"/>
  <c r="AP53" i="1"/>
  <c r="AQ53" i="1" s="1"/>
  <c r="AP49" i="1"/>
  <c r="AQ49" i="1" s="1"/>
  <c r="AP55" i="1"/>
  <c r="AQ55" i="1" s="1"/>
  <c r="AP59" i="1"/>
  <c r="AQ59" i="1" s="1"/>
  <c r="AP69" i="1"/>
  <c r="AQ69" i="1" s="1"/>
  <c r="AP62" i="1"/>
  <c r="AQ62" i="1" s="1"/>
  <c r="AP61" i="1"/>
  <c r="AQ61" i="1" s="1"/>
  <c r="AP58" i="1"/>
  <c r="AQ58" i="1" s="1"/>
  <c r="AP82" i="1"/>
  <c r="AQ82" i="1" s="1"/>
  <c r="AP56" i="1"/>
  <c r="AQ56" i="1" s="1"/>
  <c r="AP84" i="1"/>
  <c r="AQ84" i="1" s="1"/>
  <c r="AP57" i="1"/>
  <c r="AQ57" i="1" s="1"/>
  <c r="AP63" i="1"/>
  <c r="AQ63" i="1" s="1"/>
  <c r="AP83" i="1"/>
  <c r="AQ83" i="1" s="1"/>
  <c r="AP74" i="1"/>
  <c r="AQ74" i="1" s="1"/>
  <c r="AP76" i="1"/>
  <c r="AQ76" i="1" s="1"/>
  <c r="AP64" i="1"/>
  <c r="AQ64" i="1" s="1"/>
  <c r="AP75" i="1"/>
  <c r="AQ75" i="1" s="1"/>
  <c r="AP86" i="1"/>
  <c r="AQ86" i="1" s="1"/>
  <c r="AP80" i="1"/>
  <c r="AQ80" i="1" s="1"/>
  <c r="AP77" i="1"/>
  <c r="AQ77" i="1" s="1"/>
  <c r="AP68" i="1"/>
  <c r="AQ68" i="1" s="1"/>
  <c r="AP87" i="1"/>
  <c r="AQ87" i="1" s="1"/>
  <c r="AP65" i="1"/>
  <c r="AQ65" i="1" s="1"/>
  <c r="AP71" i="1"/>
  <c r="AQ71" i="1" s="1"/>
  <c r="AP70" i="1"/>
  <c r="AQ70" i="1" s="1"/>
  <c r="AP89" i="1"/>
  <c r="AQ89" i="1" s="1"/>
  <c r="AP88" i="1"/>
  <c r="AQ88" i="1" s="1"/>
  <c r="AP92" i="1"/>
  <c r="AQ92" i="1" s="1"/>
  <c r="AP81" i="1"/>
  <c r="AQ81" i="1" s="1"/>
  <c r="AP90" i="1"/>
  <c r="AQ90" i="1" s="1"/>
  <c r="AP91" i="1"/>
  <c r="AQ91" i="1" s="1"/>
  <c r="AP85" i="1"/>
  <c r="AQ85" i="1" s="1"/>
  <c r="AP93" i="1"/>
  <c r="AQ93" i="1" s="1"/>
  <c r="AP73" i="1"/>
  <c r="AQ73" i="1" s="1"/>
  <c r="AP94" i="1"/>
  <c r="AQ94" i="1" s="1"/>
  <c r="AP95" i="1"/>
  <c r="AQ95" i="1" s="1"/>
  <c r="AP96" i="1"/>
  <c r="AQ96" i="1" s="1"/>
  <c r="AP97" i="1"/>
  <c r="AQ97" i="1" s="1"/>
  <c r="BK6" i="1"/>
  <c r="BK7" i="1"/>
  <c r="BK5" i="1"/>
  <c r="BK8" i="1"/>
  <c r="BK12" i="1"/>
  <c r="BK15" i="1"/>
  <c r="BK17" i="1"/>
  <c r="BK9" i="1"/>
  <c r="BK10" i="1"/>
  <c r="BK16" i="1"/>
  <c r="BK13" i="1"/>
  <c r="BK11" i="1"/>
  <c r="BK18" i="1"/>
  <c r="BK14" i="1"/>
  <c r="BK19" i="1"/>
  <c r="BK20" i="1"/>
  <c r="BK32" i="1"/>
  <c r="BK21" i="1"/>
  <c r="BK22" i="1"/>
  <c r="BK25" i="1"/>
  <c r="BK24" i="1"/>
  <c r="BK26" i="1"/>
  <c r="BK28" i="1"/>
  <c r="BK23" i="1"/>
  <c r="BK27" i="1"/>
  <c r="BK29" i="1"/>
  <c r="BK36" i="1"/>
  <c r="BK30" i="1"/>
  <c r="BK34" i="1"/>
  <c r="BK31" i="1"/>
  <c r="BK33" i="1"/>
  <c r="BK35" i="1"/>
  <c r="BK72" i="1"/>
  <c r="BK60" i="1"/>
  <c r="BK38" i="1"/>
  <c r="BK66" i="1"/>
  <c r="BK37" i="1"/>
  <c r="BK41" i="1"/>
  <c r="BK46" i="1"/>
  <c r="BK67" i="1"/>
  <c r="BK40" i="1"/>
  <c r="BK47" i="1"/>
  <c r="BK39" i="1"/>
  <c r="BK43" i="1"/>
  <c r="BK45" i="1"/>
  <c r="BK42" i="1"/>
  <c r="BK52" i="1"/>
  <c r="BK51" i="1"/>
  <c r="BK50" i="1"/>
  <c r="BK79" i="1"/>
  <c r="BK48" i="1"/>
  <c r="BK54" i="1"/>
  <c r="BK53" i="1"/>
  <c r="BK49" i="1"/>
  <c r="BK55" i="1"/>
  <c r="BK59" i="1"/>
  <c r="BK69" i="1"/>
  <c r="BK62" i="1"/>
  <c r="BK61" i="1"/>
  <c r="BK58" i="1"/>
  <c r="BK82" i="1"/>
  <c r="BK56" i="1"/>
  <c r="BK84" i="1"/>
  <c r="BK57" i="1"/>
  <c r="BK63" i="1"/>
  <c r="BK83" i="1"/>
  <c r="BK74" i="1"/>
  <c r="BK76" i="1"/>
  <c r="BK64" i="1"/>
  <c r="BK75" i="1"/>
  <c r="BK86" i="1"/>
  <c r="BK80" i="1"/>
  <c r="BK77" i="1"/>
  <c r="BK68" i="1"/>
  <c r="BK87" i="1"/>
  <c r="BK65" i="1"/>
  <c r="BK71" i="1"/>
  <c r="BK70" i="1"/>
  <c r="BK89" i="1"/>
  <c r="BK88" i="1"/>
  <c r="BK92" i="1"/>
  <c r="BK81" i="1"/>
  <c r="BK90" i="1"/>
  <c r="BK91" i="1"/>
  <c r="BK85" i="1"/>
  <c r="BK93" i="1"/>
  <c r="BK73" i="1"/>
  <c r="BK94" i="1"/>
  <c r="BK95" i="1"/>
  <c r="BK96" i="1"/>
  <c r="BK97" i="1"/>
  <c r="D6" i="1"/>
  <c r="D7" i="1"/>
  <c r="D5" i="1"/>
  <c r="D8" i="1"/>
  <c r="D12" i="1"/>
  <c r="D15" i="1"/>
  <c r="D17" i="1"/>
  <c r="D9" i="1"/>
  <c r="D10" i="1"/>
  <c r="D16" i="1"/>
  <c r="D13" i="1"/>
  <c r="D11" i="1"/>
  <c r="D18" i="1"/>
  <c r="D14" i="1"/>
  <c r="D19" i="1"/>
  <c r="D20" i="1"/>
  <c r="D32" i="1"/>
  <c r="D21" i="1"/>
  <c r="D22" i="1"/>
  <c r="D25" i="1"/>
  <c r="D24" i="1"/>
  <c r="D26" i="1"/>
  <c r="D28" i="1"/>
  <c r="D23" i="1"/>
  <c r="D27" i="1"/>
  <c r="D29" i="1"/>
  <c r="D36" i="1"/>
  <c r="D30" i="1"/>
  <c r="D34" i="1"/>
  <c r="D31" i="1"/>
  <c r="D33" i="1"/>
  <c r="D35" i="1"/>
  <c r="D72" i="1"/>
  <c r="D60" i="1"/>
  <c r="D38" i="1"/>
  <c r="D66" i="1"/>
  <c r="D37" i="1"/>
  <c r="D41" i="1"/>
  <c r="D46" i="1"/>
  <c r="D67" i="1"/>
  <c r="D40" i="1"/>
  <c r="D47" i="1"/>
  <c r="D39" i="1"/>
  <c r="D43" i="1"/>
  <c r="D45" i="1"/>
  <c r="D42" i="1"/>
  <c r="D52" i="1"/>
  <c r="D51" i="1"/>
  <c r="D50" i="1"/>
  <c r="D79" i="1"/>
  <c r="D48" i="1"/>
  <c r="D54" i="1"/>
  <c r="D53" i="1"/>
  <c r="D49" i="1"/>
  <c r="D55" i="1"/>
  <c r="D59" i="1"/>
  <c r="D69" i="1"/>
  <c r="D62" i="1"/>
  <c r="D61" i="1"/>
  <c r="D58" i="1"/>
  <c r="D82" i="1"/>
  <c r="D56" i="1"/>
  <c r="D84" i="1"/>
  <c r="D57" i="1"/>
  <c r="D63" i="1"/>
  <c r="D83" i="1"/>
  <c r="D74" i="1"/>
  <c r="D76" i="1"/>
  <c r="D64" i="1"/>
  <c r="D75" i="1"/>
  <c r="D86" i="1"/>
  <c r="D80" i="1"/>
  <c r="D77" i="1"/>
  <c r="D68" i="1"/>
  <c r="D87" i="1"/>
  <c r="D65" i="1"/>
  <c r="D71" i="1"/>
  <c r="D70" i="1"/>
  <c r="D89" i="1"/>
  <c r="D88" i="1"/>
  <c r="D92" i="1"/>
  <c r="D81" i="1"/>
  <c r="D90" i="1"/>
  <c r="D91" i="1"/>
  <c r="D85" i="1"/>
  <c r="D93" i="1"/>
  <c r="D73" i="1"/>
  <c r="D94" i="1"/>
  <c r="D95" i="1"/>
  <c r="D96" i="1"/>
  <c r="D97" i="1"/>
  <c r="AG15" i="1"/>
  <c r="AG5" i="1"/>
  <c r="AG6" i="1"/>
  <c r="AG7" i="1"/>
  <c r="AG13" i="1"/>
  <c r="AG14" i="1"/>
  <c r="AG8" i="1"/>
  <c r="AG11" i="1"/>
  <c r="AG18" i="1"/>
  <c r="AG10" i="1"/>
  <c r="AG19" i="1"/>
  <c r="AG12" i="1"/>
  <c r="AG20" i="1"/>
  <c r="AH20" i="1" s="1"/>
  <c r="AG16" i="1"/>
  <c r="AG32" i="1"/>
  <c r="AH32" i="1" s="1"/>
  <c r="AG9" i="1"/>
  <c r="AH9" i="1" s="1"/>
  <c r="AG17" i="1"/>
  <c r="AG21" i="1"/>
  <c r="AG27" i="1"/>
  <c r="AH27" i="1" s="1"/>
  <c r="AG25" i="1"/>
  <c r="AH25" i="1" s="1"/>
  <c r="AG24" i="1"/>
  <c r="AG26" i="1"/>
  <c r="AG30" i="1"/>
  <c r="AH30" i="1" s="1"/>
  <c r="AG23" i="1"/>
  <c r="AH23" i="1" s="1"/>
  <c r="AG29" i="1"/>
  <c r="AH29" i="1" s="1"/>
  <c r="AG22" i="1"/>
  <c r="AH22" i="1" s="1"/>
  <c r="AG60" i="1"/>
  <c r="AH60" i="1" s="1"/>
  <c r="AG28" i="1"/>
  <c r="AG36" i="1"/>
  <c r="AG31" i="1"/>
  <c r="AH31" i="1" s="1"/>
  <c r="AG34" i="1"/>
  <c r="AH34" i="1" s="1"/>
  <c r="AG66" i="1"/>
  <c r="AH66" i="1" s="1"/>
  <c r="AG35" i="1"/>
  <c r="AH35" i="1" s="1"/>
  <c r="AG67" i="1"/>
  <c r="AH67" i="1" s="1"/>
  <c r="AG33" i="1"/>
  <c r="AG72" i="1"/>
  <c r="AH72" i="1" s="1"/>
  <c r="AG42" i="1"/>
  <c r="AH42" i="1" s="1"/>
  <c r="AG39" i="1"/>
  <c r="AH39" i="1" s="1"/>
  <c r="AG54" i="1"/>
  <c r="AH54" i="1" s="1"/>
  <c r="AG41" i="1"/>
  <c r="AH41" i="1" s="1"/>
  <c r="AG38" i="1"/>
  <c r="AG37" i="1"/>
  <c r="AH37" i="1" s="1"/>
  <c r="AG46" i="1"/>
  <c r="AH46" i="1" s="1"/>
  <c r="AG45" i="1"/>
  <c r="AH45" i="1" s="1"/>
  <c r="AG40" i="1"/>
  <c r="AH40" i="1" s="1"/>
  <c r="AG47" i="1"/>
  <c r="AH47" i="1" s="1"/>
  <c r="AG53" i="1"/>
  <c r="AH53" i="1" s="1"/>
  <c r="AG62" i="1"/>
  <c r="AH62" i="1" s="1"/>
  <c r="AG79" i="1"/>
  <c r="AH79" i="1" s="1"/>
  <c r="AG51" i="1"/>
  <c r="AH51" i="1" s="1"/>
  <c r="AG50" i="1"/>
  <c r="AH50" i="1" s="1"/>
  <c r="AG59" i="1"/>
  <c r="AH59" i="1" s="1"/>
  <c r="AG63" i="1"/>
  <c r="AH63" i="1" s="1"/>
  <c r="AG49" i="1"/>
  <c r="AH49" i="1" s="1"/>
  <c r="AG48" i="1"/>
  <c r="AH48" i="1" s="1"/>
  <c r="AG52" i="1"/>
  <c r="AG57" i="1"/>
  <c r="AH57" i="1" s="1"/>
  <c r="AG56" i="1"/>
  <c r="AH56" i="1" s="1"/>
  <c r="AG69" i="1"/>
  <c r="AH69" i="1" s="1"/>
  <c r="AG84" i="1"/>
  <c r="AH84" i="1" s="1"/>
  <c r="AG58" i="1"/>
  <c r="AH58" i="1" s="1"/>
  <c r="AG64" i="1"/>
  <c r="AH64" i="1" s="1"/>
  <c r="AG74" i="1"/>
  <c r="AH74" i="1" s="1"/>
  <c r="AG76" i="1"/>
  <c r="AH76" i="1" s="1"/>
  <c r="AG43" i="1"/>
  <c r="AH43" i="1" s="1"/>
  <c r="AG82" i="1"/>
  <c r="AH82" i="1" s="1"/>
  <c r="AG86" i="1"/>
  <c r="AH86" i="1" s="1"/>
  <c r="AG77" i="1"/>
  <c r="AH77" i="1" s="1"/>
  <c r="AG68" i="1"/>
  <c r="AH68" i="1" s="1"/>
  <c r="AG83" i="1"/>
  <c r="AH83" i="1" s="1"/>
  <c r="AG75" i="1"/>
  <c r="AH75" i="1" s="1"/>
  <c r="AG55" i="1"/>
  <c r="AH55" i="1" s="1"/>
  <c r="AG87" i="1"/>
  <c r="AH87" i="1" s="1"/>
  <c r="AG80" i="1"/>
  <c r="AH80" i="1" s="1"/>
  <c r="AG89" i="1"/>
  <c r="AH89" i="1" s="1"/>
  <c r="AG65" i="1"/>
  <c r="AH65" i="1" s="1"/>
  <c r="AG88" i="1"/>
  <c r="AH88" i="1" s="1"/>
  <c r="AG92" i="1"/>
  <c r="AH92" i="1" s="1"/>
  <c r="AG71" i="1"/>
  <c r="AH71" i="1" s="1"/>
  <c r="AG61" i="1"/>
  <c r="AH61" i="1" s="1"/>
  <c r="AG85" i="1"/>
  <c r="AH85" i="1" s="1"/>
  <c r="AG90" i="1"/>
  <c r="AH90" i="1" s="1"/>
  <c r="AG91" i="1"/>
  <c r="AH91" i="1" s="1"/>
  <c r="AG70" i="1"/>
  <c r="AH70" i="1" s="1"/>
  <c r="AG81" i="1"/>
  <c r="AH81" i="1" s="1"/>
  <c r="AG93" i="1"/>
  <c r="AH93" i="1" s="1"/>
  <c r="AG73" i="1"/>
  <c r="AH73" i="1" s="1"/>
  <c r="AG94" i="1"/>
  <c r="AH94" i="1" s="1"/>
  <c r="AG95" i="1"/>
  <c r="AH95" i="1" s="1"/>
  <c r="AG96" i="1"/>
  <c r="AH96" i="1" s="1"/>
  <c r="AG97" i="1"/>
  <c r="AH97" i="1" s="1"/>
  <c r="AJ15" i="1"/>
  <c r="AJ5" i="1"/>
  <c r="AJ6" i="1"/>
  <c r="AJ7" i="1"/>
  <c r="AJ13" i="1"/>
  <c r="AJ14" i="1"/>
  <c r="AJ8" i="1"/>
  <c r="AJ11" i="1"/>
  <c r="AJ18" i="1"/>
  <c r="AJ10" i="1"/>
  <c r="AJ19" i="1"/>
  <c r="AK19" i="1" s="1"/>
  <c r="AJ12" i="1"/>
  <c r="AJ20" i="1"/>
  <c r="AJ16" i="1"/>
  <c r="AK16" i="1" s="1"/>
  <c r="AJ32" i="1"/>
  <c r="AK32" i="1" s="1"/>
  <c r="AJ9" i="1"/>
  <c r="AK9" i="1" s="1"/>
  <c r="AJ17" i="1"/>
  <c r="AJ21" i="1"/>
  <c r="AJ27" i="1"/>
  <c r="AK27" i="1" s="1"/>
  <c r="AJ25" i="1"/>
  <c r="AJ24" i="1"/>
  <c r="AK24" i="1" s="1"/>
  <c r="AJ26" i="1"/>
  <c r="AJ30" i="1"/>
  <c r="AJ23" i="1"/>
  <c r="AJ29" i="1"/>
  <c r="AK29" i="1" s="1"/>
  <c r="AJ22" i="1"/>
  <c r="AJ60" i="1"/>
  <c r="AK60" i="1" s="1"/>
  <c r="AJ28" i="1"/>
  <c r="AK28" i="1" s="1"/>
  <c r="AJ36" i="1"/>
  <c r="AK36" i="1" s="1"/>
  <c r="AJ31" i="1"/>
  <c r="AJ34" i="1"/>
  <c r="AK34" i="1" s="1"/>
  <c r="AJ66" i="1"/>
  <c r="AK66" i="1" s="1"/>
  <c r="AJ35" i="1"/>
  <c r="AK35" i="1" s="1"/>
  <c r="AJ67" i="1"/>
  <c r="AK67" i="1" s="1"/>
  <c r="AJ33" i="1"/>
  <c r="AK33" i="1" s="1"/>
  <c r="AJ72" i="1"/>
  <c r="AK72" i="1" s="1"/>
  <c r="AJ42" i="1"/>
  <c r="AK42" i="1" s="1"/>
  <c r="AJ39" i="1"/>
  <c r="AK39" i="1" s="1"/>
  <c r="AJ54" i="1"/>
  <c r="AK54" i="1" s="1"/>
  <c r="AJ41" i="1"/>
  <c r="AJ38" i="1"/>
  <c r="AK38" i="1" s="1"/>
  <c r="AJ37" i="1"/>
  <c r="AK37" i="1" s="1"/>
  <c r="AJ46" i="1"/>
  <c r="AJ45" i="1"/>
  <c r="AJ40" i="1"/>
  <c r="AJ47" i="1"/>
  <c r="AK47" i="1" s="1"/>
  <c r="AJ53" i="1"/>
  <c r="AJ62" i="1"/>
  <c r="AJ79" i="1"/>
  <c r="AK79" i="1" s="1"/>
  <c r="AJ51" i="1"/>
  <c r="AJ50" i="1"/>
  <c r="AJ59" i="1"/>
  <c r="AK59" i="1" s="1"/>
  <c r="AJ63" i="1"/>
  <c r="AK63" i="1" s="1"/>
  <c r="AJ49" i="1"/>
  <c r="AJ48" i="1"/>
  <c r="AK48" i="1" s="1"/>
  <c r="AJ52" i="1"/>
  <c r="AK52" i="1" s="1"/>
  <c r="AJ57" i="1"/>
  <c r="AK57" i="1" s="1"/>
  <c r="AJ56" i="1"/>
  <c r="AJ69" i="1"/>
  <c r="AK69" i="1" s="1"/>
  <c r="AJ84" i="1"/>
  <c r="AJ58" i="1"/>
  <c r="AK58" i="1" s="1"/>
  <c r="AJ64" i="1"/>
  <c r="AK64" i="1" s="1"/>
  <c r="AJ74" i="1"/>
  <c r="AK74" i="1" s="1"/>
  <c r="AJ76" i="1"/>
  <c r="AK76" i="1" s="1"/>
  <c r="AJ43" i="1"/>
  <c r="AJ82" i="1"/>
  <c r="AJ86" i="1"/>
  <c r="AK86" i="1" s="1"/>
  <c r="AJ77" i="1"/>
  <c r="AK77" i="1" s="1"/>
  <c r="AJ68" i="1"/>
  <c r="AK68" i="1" s="1"/>
  <c r="AJ83" i="1"/>
  <c r="AK83" i="1" s="1"/>
  <c r="AJ75" i="1"/>
  <c r="AK75" i="1" s="1"/>
  <c r="AJ55" i="1"/>
  <c r="AJ87" i="1"/>
  <c r="AK87" i="1" s="1"/>
  <c r="AJ80" i="1"/>
  <c r="AK80" i="1" s="1"/>
  <c r="AJ89" i="1"/>
  <c r="AK89" i="1" s="1"/>
  <c r="AJ65" i="1"/>
  <c r="AK65" i="1" s="1"/>
  <c r="AJ88" i="1"/>
  <c r="AK88" i="1" s="1"/>
  <c r="AJ92" i="1"/>
  <c r="AK92" i="1" s="1"/>
  <c r="AJ71" i="1"/>
  <c r="AK71" i="1" s="1"/>
  <c r="AJ61" i="1"/>
  <c r="AJ85" i="1"/>
  <c r="AK85" i="1" s="1"/>
  <c r="AJ90" i="1"/>
  <c r="AK90" i="1" s="1"/>
  <c r="AJ91" i="1"/>
  <c r="AK91" i="1" s="1"/>
  <c r="AJ70" i="1"/>
  <c r="AK70" i="1" s="1"/>
  <c r="AJ81" i="1"/>
  <c r="AK81" i="1" s="1"/>
  <c r="AJ93" i="1"/>
  <c r="AK93" i="1" s="1"/>
  <c r="AJ73" i="1"/>
  <c r="AK73" i="1" s="1"/>
  <c r="AJ94" i="1"/>
  <c r="AK94" i="1" s="1"/>
  <c r="AJ95" i="1"/>
  <c r="AK95" i="1" s="1"/>
  <c r="AJ96" i="1"/>
  <c r="AK96" i="1" s="1"/>
  <c r="AJ97" i="1"/>
  <c r="AK97" i="1" s="1"/>
  <c r="AM15" i="1"/>
  <c r="AM5" i="1"/>
  <c r="AM6" i="1"/>
  <c r="AM7" i="1"/>
  <c r="AM13" i="1"/>
  <c r="AM14" i="1"/>
  <c r="AN14" i="1" s="1"/>
  <c r="AM8" i="1"/>
  <c r="AM11" i="1"/>
  <c r="AM18" i="1"/>
  <c r="AM10" i="1"/>
  <c r="AM19" i="1"/>
  <c r="AM12" i="1"/>
  <c r="AM20" i="1"/>
  <c r="AN20" i="1" s="1"/>
  <c r="AM16" i="1"/>
  <c r="AM32" i="1"/>
  <c r="AN32" i="1" s="1"/>
  <c r="AM9" i="1"/>
  <c r="AM17" i="1"/>
  <c r="AM21" i="1"/>
  <c r="AN21" i="1" s="1"/>
  <c r="AM27" i="1"/>
  <c r="AN27" i="1" s="1"/>
  <c r="AM25" i="1"/>
  <c r="AM24" i="1"/>
  <c r="AN24" i="1" s="1"/>
  <c r="AM26" i="1"/>
  <c r="AN26" i="1" s="1"/>
  <c r="AM30" i="1"/>
  <c r="AN30" i="1" s="1"/>
  <c r="AM23" i="1"/>
  <c r="AN23" i="1" s="1"/>
  <c r="AM29" i="1"/>
  <c r="AN29" i="1" s="1"/>
  <c r="AM22" i="1"/>
  <c r="AM60" i="1"/>
  <c r="AN60" i="1" s="1"/>
  <c r="AM28" i="1"/>
  <c r="AM36" i="1"/>
  <c r="AN36" i="1" s="1"/>
  <c r="AM31" i="1"/>
  <c r="AN31" i="1" s="1"/>
  <c r="AM34" i="1"/>
  <c r="AN34" i="1" s="1"/>
  <c r="AM66" i="1"/>
  <c r="AN66" i="1" s="1"/>
  <c r="AM35" i="1"/>
  <c r="AN35" i="1" s="1"/>
  <c r="AM67" i="1"/>
  <c r="AN67" i="1" s="1"/>
  <c r="AM33" i="1"/>
  <c r="AM72" i="1"/>
  <c r="AN72" i="1" s="1"/>
  <c r="AM42" i="1"/>
  <c r="AN42" i="1" s="1"/>
  <c r="AM39" i="1"/>
  <c r="AN39" i="1" s="1"/>
  <c r="AM54" i="1"/>
  <c r="AN54" i="1" s="1"/>
  <c r="AM41" i="1"/>
  <c r="AN41" i="1" s="1"/>
  <c r="AM38" i="1"/>
  <c r="AN38" i="1" s="1"/>
  <c r="AM37" i="1"/>
  <c r="AN37" i="1" s="1"/>
  <c r="AM46" i="1"/>
  <c r="AN46" i="1" s="1"/>
  <c r="AM45" i="1"/>
  <c r="AN45" i="1" s="1"/>
  <c r="AM40" i="1"/>
  <c r="AM47" i="1"/>
  <c r="AN47" i="1" s="1"/>
  <c r="AM53" i="1"/>
  <c r="AN53" i="1" s="1"/>
  <c r="AM62" i="1"/>
  <c r="AN62" i="1" s="1"/>
  <c r="AM79" i="1"/>
  <c r="AN79" i="1" s="1"/>
  <c r="AM51" i="1"/>
  <c r="AN51" i="1" s="1"/>
  <c r="AM50" i="1"/>
  <c r="AN50" i="1" s="1"/>
  <c r="AM59" i="1"/>
  <c r="AN59" i="1" s="1"/>
  <c r="AM63" i="1"/>
  <c r="AN63" i="1" s="1"/>
  <c r="AM49" i="1"/>
  <c r="AN49" i="1" s="1"/>
  <c r="AM48" i="1"/>
  <c r="AN48" i="1" s="1"/>
  <c r="AM52" i="1"/>
  <c r="AN52" i="1" s="1"/>
  <c r="AM57" i="1"/>
  <c r="AN57" i="1" s="1"/>
  <c r="AM56" i="1"/>
  <c r="AN56" i="1" s="1"/>
  <c r="AM69" i="1"/>
  <c r="AN69" i="1" s="1"/>
  <c r="AM84" i="1"/>
  <c r="AN84" i="1" s="1"/>
  <c r="AM58" i="1"/>
  <c r="AN58" i="1" s="1"/>
  <c r="AM64" i="1"/>
  <c r="AN64" i="1" s="1"/>
  <c r="AM74" i="1"/>
  <c r="AN74" i="1" s="1"/>
  <c r="AM76" i="1"/>
  <c r="AN76" i="1" s="1"/>
  <c r="AM43" i="1"/>
  <c r="AM82" i="1"/>
  <c r="AN82" i="1" s="1"/>
  <c r="AM86" i="1"/>
  <c r="AN86" i="1" s="1"/>
  <c r="AM77" i="1"/>
  <c r="AN77" i="1" s="1"/>
  <c r="AM68" i="1"/>
  <c r="AN68" i="1" s="1"/>
  <c r="AM83" i="1"/>
  <c r="AN83" i="1" s="1"/>
  <c r="AM75" i="1"/>
  <c r="AN75" i="1" s="1"/>
  <c r="AM55" i="1"/>
  <c r="AN55" i="1" s="1"/>
  <c r="AM87" i="1"/>
  <c r="AN87" i="1" s="1"/>
  <c r="AM80" i="1"/>
  <c r="AN80" i="1" s="1"/>
  <c r="AM89" i="1"/>
  <c r="AN89" i="1" s="1"/>
  <c r="AM65" i="1"/>
  <c r="AN65" i="1" s="1"/>
  <c r="AM88" i="1"/>
  <c r="AN88" i="1" s="1"/>
  <c r="AM92" i="1"/>
  <c r="AN92" i="1" s="1"/>
  <c r="AM71" i="1"/>
  <c r="AN71" i="1" s="1"/>
  <c r="AM61" i="1"/>
  <c r="AN61" i="1" s="1"/>
  <c r="AM85" i="1"/>
  <c r="AN85" i="1" s="1"/>
  <c r="AM90" i="1"/>
  <c r="AN90" i="1" s="1"/>
  <c r="AM91" i="1"/>
  <c r="AN91" i="1" s="1"/>
  <c r="AM70" i="1"/>
  <c r="AN70" i="1" s="1"/>
  <c r="AM81" i="1"/>
  <c r="AN81" i="1" s="1"/>
  <c r="AM93" i="1"/>
  <c r="AN93" i="1" s="1"/>
  <c r="AM73" i="1"/>
  <c r="AN73" i="1" s="1"/>
  <c r="AM94" i="1"/>
  <c r="AN94" i="1" s="1"/>
  <c r="AM95" i="1"/>
  <c r="AN95" i="1" s="1"/>
  <c r="AM96" i="1"/>
  <c r="AN96" i="1" s="1"/>
  <c r="AM97" i="1"/>
  <c r="AN97" i="1" s="1"/>
  <c r="BE15" i="1"/>
  <c r="BE5" i="1"/>
  <c r="BE6" i="1"/>
  <c r="BE7" i="1"/>
  <c r="BE13" i="1"/>
  <c r="BE14" i="1"/>
  <c r="BE8" i="1"/>
  <c r="BE11" i="1"/>
  <c r="BE18" i="1"/>
  <c r="BE10" i="1"/>
  <c r="BE19" i="1"/>
  <c r="BE12" i="1"/>
  <c r="BE20" i="1"/>
  <c r="BE16" i="1"/>
  <c r="BE32" i="1"/>
  <c r="BE9" i="1"/>
  <c r="BE17" i="1"/>
  <c r="BE21" i="1"/>
  <c r="BE27" i="1"/>
  <c r="BE25" i="1"/>
  <c r="BE24" i="1"/>
  <c r="BE26" i="1"/>
  <c r="BE30" i="1"/>
  <c r="BE23" i="1"/>
  <c r="BE29" i="1"/>
  <c r="BE22" i="1"/>
  <c r="BE60" i="1"/>
  <c r="BE28" i="1"/>
  <c r="BE36" i="1"/>
  <c r="BE31" i="1"/>
  <c r="BE34" i="1"/>
  <c r="BE66" i="1"/>
  <c r="BE35" i="1"/>
  <c r="BE67" i="1"/>
  <c r="BE33" i="1"/>
  <c r="BE72" i="1"/>
  <c r="BE42" i="1"/>
  <c r="BE39" i="1"/>
  <c r="BE54" i="1"/>
  <c r="BE41" i="1"/>
  <c r="BE38" i="1"/>
  <c r="BE37" i="1"/>
  <c r="BE46" i="1"/>
  <c r="BE45" i="1"/>
  <c r="BE40" i="1"/>
  <c r="BE47" i="1"/>
  <c r="BE53" i="1"/>
  <c r="BE62" i="1"/>
  <c r="BF62" i="1" s="1"/>
  <c r="BE79" i="1"/>
  <c r="BE51" i="1"/>
  <c r="BE50" i="1"/>
  <c r="BE59" i="1"/>
  <c r="BE63" i="1"/>
  <c r="BE49" i="1"/>
  <c r="BE48" i="1"/>
  <c r="BE52" i="1"/>
  <c r="BE57" i="1"/>
  <c r="BE56" i="1"/>
  <c r="BE69" i="1"/>
  <c r="BE84" i="1"/>
  <c r="BE58" i="1"/>
  <c r="BE64" i="1"/>
  <c r="BE74" i="1"/>
  <c r="BE76" i="1"/>
  <c r="BE43" i="1"/>
  <c r="BE82" i="1"/>
  <c r="BE86" i="1"/>
  <c r="BE77" i="1"/>
  <c r="BE68" i="1"/>
  <c r="BE83" i="1"/>
  <c r="BE75" i="1"/>
  <c r="BE55" i="1"/>
  <c r="BE87" i="1"/>
  <c r="BE80" i="1"/>
  <c r="BE89" i="1"/>
  <c r="BE65" i="1"/>
  <c r="BE88" i="1"/>
  <c r="BE92" i="1"/>
  <c r="BE71" i="1"/>
  <c r="BE61" i="1"/>
  <c r="BE85" i="1"/>
  <c r="BF85" i="1" s="1"/>
  <c r="BE90" i="1"/>
  <c r="BE91" i="1"/>
  <c r="BE70" i="1"/>
  <c r="BE81" i="1"/>
  <c r="BE93" i="1"/>
  <c r="BE73" i="1"/>
  <c r="BE94" i="1"/>
  <c r="BF94" i="1" s="1"/>
  <c r="BE95" i="1"/>
  <c r="BF95" i="1" s="1"/>
  <c r="BE96" i="1"/>
  <c r="BF96" i="1" s="1"/>
  <c r="BE97" i="1"/>
  <c r="BF97" i="1" s="1"/>
  <c r="W11" i="1"/>
  <c r="W14" i="1"/>
  <c r="W13" i="1"/>
  <c r="W18" i="1"/>
  <c r="W5" i="1"/>
  <c r="W6" i="1"/>
  <c r="W32" i="1"/>
  <c r="W8" i="1"/>
  <c r="W16" i="1"/>
  <c r="W10" i="1"/>
  <c r="W9" i="1"/>
  <c r="W12" i="1"/>
  <c r="W26" i="1"/>
  <c r="W17" i="1"/>
  <c r="W21" i="1"/>
  <c r="W27" i="1"/>
  <c r="W19" i="1"/>
  <c r="W29" i="1"/>
  <c r="W7" i="1"/>
  <c r="W25" i="1"/>
  <c r="W20" i="1"/>
  <c r="W34" i="1"/>
  <c r="W30" i="1"/>
  <c r="W24" i="1"/>
  <c r="W36" i="1"/>
  <c r="W22" i="1"/>
  <c r="W60" i="1"/>
  <c r="W37" i="1"/>
  <c r="W66" i="1"/>
  <c r="W31" i="1"/>
  <c r="W28" i="1"/>
  <c r="W33" i="1"/>
  <c r="W42" i="1"/>
  <c r="W35" i="1"/>
  <c r="W39" i="1"/>
  <c r="W40" i="1"/>
  <c r="W41" i="1"/>
  <c r="W72" i="1"/>
  <c r="W54" i="1"/>
  <c r="W46" i="1"/>
  <c r="W47" i="1"/>
  <c r="W67" i="1"/>
  <c r="W38" i="1"/>
  <c r="W45" i="1"/>
  <c r="W53" i="1"/>
  <c r="W51" i="1"/>
  <c r="W62" i="1"/>
  <c r="W52" i="1"/>
  <c r="W74" i="1"/>
  <c r="W50" i="1"/>
  <c r="W79" i="1"/>
  <c r="W59" i="1"/>
  <c r="W63" i="1"/>
  <c r="W49" i="1"/>
  <c r="W48" i="1"/>
  <c r="W84" i="1"/>
  <c r="W64" i="1"/>
  <c r="W86" i="1"/>
  <c r="W69" i="1"/>
  <c r="W68" i="1"/>
  <c r="W56" i="1"/>
  <c r="W58" i="1"/>
  <c r="W57" i="1"/>
  <c r="W43" i="1"/>
  <c r="W76" i="1"/>
  <c r="W82" i="1"/>
  <c r="W77" i="1"/>
  <c r="W75" i="1"/>
  <c r="W55" i="1"/>
  <c r="W80" i="1"/>
  <c r="W89" i="1"/>
  <c r="W83" i="1"/>
  <c r="W87" i="1"/>
  <c r="W65" i="1"/>
  <c r="W61" i="1"/>
  <c r="W71" i="1"/>
  <c r="W85" i="1"/>
  <c r="W90" i="1"/>
  <c r="W88" i="1"/>
  <c r="W91" i="1"/>
  <c r="W93" i="1"/>
  <c r="W81" i="1"/>
  <c r="W70" i="1"/>
  <c r="W95" i="1"/>
  <c r="W94" i="1"/>
  <c r="W96" i="1"/>
  <c r="W97" i="1"/>
  <c r="W23" i="1"/>
  <c r="W92" i="1"/>
  <c r="W73" i="1"/>
  <c r="W15" i="1"/>
  <c r="AZ99" i="1" l="1"/>
  <c r="AW99" i="1"/>
  <c r="BE99" i="1"/>
  <c r="BF44" i="1" s="1"/>
  <c r="AJ99" i="1"/>
  <c r="AK45" i="1" s="1"/>
  <c r="AS99" i="1"/>
  <c r="AT38" i="1" s="1"/>
  <c r="AM99" i="1"/>
  <c r="AN9" i="1" s="1"/>
  <c r="AG99" i="1"/>
  <c r="AH12" i="1" s="1"/>
  <c r="AP99" i="1"/>
  <c r="AQ26" i="1" s="1"/>
  <c r="BB99" i="1"/>
  <c r="BC44" i="1" s="1"/>
  <c r="AE44" i="1" s="1"/>
  <c r="AE81" i="1"/>
  <c r="AE88" i="1"/>
  <c r="AE68" i="1"/>
  <c r="AE63" i="1"/>
  <c r="AE65" i="1"/>
  <c r="AE59" i="1"/>
  <c r="AE97" i="1"/>
  <c r="F97" i="1" s="1"/>
  <c r="AE91" i="1"/>
  <c r="AE90" i="1"/>
  <c r="AE95" i="1"/>
  <c r="F95" i="1" s="1"/>
  <c r="AE85" i="1"/>
  <c r="F85" i="1" s="1"/>
  <c r="AE87" i="1"/>
  <c r="AE57" i="1"/>
  <c r="AE79" i="1"/>
  <c r="AE37" i="1"/>
  <c r="AE67" i="1"/>
  <c r="AE76" i="1"/>
  <c r="AE54" i="1"/>
  <c r="AE70" i="1"/>
  <c r="AE77" i="1"/>
  <c r="AE89" i="1"/>
  <c r="AE69" i="1"/>
  <c r="AE86" i="1"/>
  <c r="AE96" i="1"/>
  <c r="F96" i="1" s="1"/>
  <c r="AE80" i="1"/>
  <c r="AE94" i="1"/>
  <c r="F94" i="1" s="1"/>
  <c r="AE29" i="1"/>
  <c r="AE73" i="1"/>
  <c r="AE71" i="1"/>
  <c r="AE75" i="1"/>
  <c r="AE93" i="1"/>
  <c r="AE92" i="1"/>
  <c r="AE83" i="1"/>
  <c r="AE64" i="1"/>
  <c r="F44" i="1" l="1"/>
  <c r="AN10" i="1"/>
  <c r="AH10" i="1"/>
  <c r="AN25" i="1"/>
  <c r="BF11" i="1"/>
  <c r="AH52" i="1"/>
  <c r="AN28" i="1"/>
  <c r="AN5" i="1"/>
  <c r="BF21" i="1"/>
  <c r="BF90" i="1"/>
  <c r="AH38" i="1"/>
  <c r="AH16" i="1"/>
  <c r="AH26" i="1"/>
  <c r="BF32" i="1"/>
  <c r="BF9" i="1"/>
  <c r="BF79" i="1"/>
  <c r="BC74" i="1"/>
  <c r="BF20" i="1"/>
  <c r="BC35" i="1"/>
  <c r="BF30" i="1"/>
  <c r="BF61" i="1"/>
  <c r="BF57" i="1"/>
  <c r="BF60" i="1"/>
  <c r="BF88" i="1"/>
  <c r="BC18" i="1"/>
  <c r="BF71" i="1"/>
  <c r="BC40" i="1"/>
  <c r="BF72" i="1"/>
  <c r="BF77" i="1"/>
  <c r="BC42" i="1"/>
  <c r="AE42" i="1" s="1"/>
  <c r="BF73" i="1"/>
  <c r="F73" i="1" s="1"/>
  <c r="BC50" i="1"/>
  <c r="BF70" i="1"/>
  <c r="AH24" i="1"/>
  <c r="AN15" i="1"/>
  <c r="AH5" i="1"/>
  <c r="AK41" i="1"/>
  <c r="AH36" i="1"/>
  <c r="BF39" i="1"/>
  <c r="AT8" i="1"/>
  <c r="AK15" i="1"/>
  <c r="AT6" i="1"/>
  <c r="AT48" i="1"/>
  <c r="AK22" i="1"/>
  <c r="BC28" i="1"/>
  <c r="BC52" i="1"/>
  <c r="AH11" i="1"/>
  <c r="BF8" i="1"/>
  <c r="BF75" i="1"/>
  <c r="BC23" i="1"/>
  <c r="AH17" i="1"/>
  <c r="AN33" i="1"/>
  <c r="BF55" i="1"/>
  <c r="BC72" i="1"/>
  <c r="AQ13" i="1"/>
  <c r="AN12" i="1"/>
  <c r="BF38" i="1"/>
  <c r="BF12" i="1"/>
  <c r="AT17" i="1"/>
  <c r="AK23" i="1"/>
  <c r="BF10" i="1"/>
  <c r="BF80" i="1"/>
  <c r="BC48" i="1"/>
  <c r="AH28" i="1"/>
  <c r="BF27" i="1"/>
  <c r="BF91" i="1"/>
  <c r="BC58" i="1"/>
  <c r="AH13" i="1"/>
  <c r="BC12" i="1"/>
  <c r="AH14" i="1"/>
  <c r="BF13" i="1"/>
  <c r="BF68" i="1"/>
  <c r="F68" i="1" s="1"/>
  <c r="BC41" i="1"/>
  <c r="AT39" i="1"/>
  <c r="AK84" i="1"/>
  <c r="BF31" i="1"/>
  <c r="AT18" i="1"/>
  <c r="AQ8" i="1"/>
  <c r="AK62" i="1"/>
  <c r="BF22" i="1"/>
  <c r="AT9" i="1"/>
  <c r="AK18" i="1"/>
  <c r="BF33" i="1"/>
  <c r="BC8" i="1"/>
  <c r="AT10" i="1"/>
  <c r="BC24" i="1"/>
  <c r="BF24" i="1"/>
  <c r="BF81" i="1"/>
  <c r="BC49" i="1"/>
  <c r="AQ9" i="1"/>
  <c r="AN18" i="1"/>
  <c r="BF47" i="1"/>
  <c r="AT11" i="1"/>
  <c r="AT25" i="1"/>
  <c r="AK20" i="1"/>
  <c r="BF34" i="1"/>
  <c r="AK51" i="1"/>
  <c r="AT34" i="1"/>
  <c r="AK26" i="1"/>
  <c r="BF23" i="1"/>
  <c r="BF28" i="1"/>
  <c r="AT15" i="1"/>
  <c r="AH21" i="1"/>
  <c r="BF15" i="1"/>
  <c r="BF43" i="1"/>
  <c r="BC7" i="1"/>
  <c r="AQ11" i="1"/>
  <c r="AK55" i="1"/>
  <c r="BF67" i="1"/>
  <c r="BC5" i="1"/>
  <c r="AT20" i="1"/>
  <c r="AK17" i="1"/>
  <c r="BF46" i="1"/>
  <c r="BC11" i="1"/>
  <c r="AT27" i="1"/>
  <c r="AK10" i="1"/>
  <c r="BC34" i="1"/>
  <c r="AK6" i="1"/>
  <c r="BF36" i="1"/>
  <c r="BF65" i="1"/>
  <c r="F65" i="1" s="1"/>
  <c r="BC56" i="1"/>
  <c r="AH8" i="1"/>
  <c r="AN17" i="1"/>
  <c r="BF49" i="1"/>
  <c r="AT19" i="1"/>
  <c r="AK13" i="1"/>
  <c r="BC17" i="1"/>
  <c r="AT30" i="1"/>
  <c r="AK40" i="1"/>
  <c r="BF54" i="1"/>
  <c r="F54" i="1" s="1"/>
  <c r="BF25" i="1"/>
  <c r="AQ7" i="1"/>
  <c r="AK31" i="1"/>
  <c r="BF66" i="1"/>
  <c r="BF59" i="1"/>
  <c r="F59" i="1" s="1"/>
  <c r="AT14" i="1"/>
  <c r="AK8" i="1"/>
  <c r="BF18" i="1"/>
  <c r="BF87" i="1"/>
  <c r="F87" i="1" s="1"/>
  <c r="BC16" i="1"/>
  <c r="AH6" i="1"/>
  <c r="AK61" i="1"/>
  <c r="BF37" i="1"/>
  <c r="BC13" i="1"/>
  <c r="AT35" i="1"/>
  <c r="AK43" i="1"/>
  <c r="BF50" i="1"/>
  <c r="BC25" i="1"/>
  <c r="AT50" i="1"/>
  <c r="AK21" i="1"/>
  <c r="BC45" i="1"/>
  <c r="AK46" i="1"/>
  <c r="BF42" i="1"/>
  <c r="BC15" i="1"/>
  <c r="AT5" i="1"/>
  <c r="AK7" i="1"/>
  <c r="AN43" i="1"/>
  <c r="BF64" i="1"/>
  <c r="BC19" i="1"/>
  <c r="AT43" i="1"/>
  <c r="BF53" i="1"/>
  <c r="BF84" i="1"/>
  <c r="AQ16" i="1"/>
  <c r="AK49" i="1"/>
  <c r="BF41" i="1"/>
  <c r="BC6" i="1"/>
  <c r="AT31" i="1"/>
  <c r="AK30" i="1"/>
  <c r="BF17" i="1"/>
  <c r="AK5" i="1"/>
  <c r="BC21" i="1"/>
  <c r="AH19" i="1"/>
  <c r="AN13" i="1"/>
  <c r="BF51" i="1"/>
  <c r="BC22" i="1"/>
  <c r="AQ18" i="1"/>
  <c r="AN16" i="1"/>
  <c r="BF69" i="1"/>
  <c r="BC30" i="1"/>
  <c r="AQ15" i="1"/>
  <c r="AK56" i="1"/>
  <c r="AT7" i="1"/>
  <c r="AK50" i="1"/>
  <c r="BF40" i="1"/>
  <c r="BC14" i="1"/>
  <c r="AT13" i="1"/>
  <c r="AK12" i="1"/>
  <c r="BF14" i="1"/>
  <c r="BF83" i="1"/>
  <c r="AH15" i="1"/>
  <c r="AN6" i="1"/>
  <c r="BF52" i="1"/>
  <c r="BC10" i="1"/>
  <c r="AT41" i="1"/>
  <c r="AK53" i="1"/>
  <c r="BF29" i="1"/>
  <c r="AK82" i="1"/>
  <c r="BC60" i="1"/>
  <c r="AE60" i="1" s="1"/>
  <c r="AH33" i="1"/>
  <c r="AN40" i="1"/>
  <c r="BF56" i="1"/>
  <c r="BC36" i="1"/>
  <c r="AH7" i="1"/>
  <c r="BF6" i="1"/>
  <c r="BF86" i="1"/>
  <c r="F86" i="1" s="1"/>
  <c r="BC66" i="1"/>
  <c r="AQ14" i="1"/>
  <c r="BF7" i="1"/>
  <c r="AT16" i="1"/>
  <c r="AN11" i="1"/>
  <c r="BF63" i="1"/>
  <c r="F63" i="1" s="1"/>
  <c r="BC26" i="1"/>
  <c r="AT22" i="1"/>
  <c r="AK25" i="1"/>
  <c r="BF16" i="1"/>
  <c r="BF92" i="1"/>
  <c r="AK14" i="1"/>
  <c r="AQ6" i="1"/>
  <c r="BF48" i="1"/>
  <c r="BC33" i="1"/>
  <c r="AQ10" i="1"/>
  <c r="AN22" i="1"/>
  <c r="BF74" i="1"/>
  <c r="BC9" i="1"/>
  <c r="AH18" i="1"/>
  <c r="AN19" i="1"/>
  <c r="BF76" i="1"/>
  <c r="BC32" i="1"/>
  <c r="AQ5" i="1"/>
  <c r="AN7" i="1"/>
  <c r="BF35" i="1"/>
  <c r="AN8" i="1"/>
  <c r="BC62" i="1"/>
  <c r="AK11" i="1"/>
  <c r="BF5" i="1"/>
  <c r="BF82" i="1"/>
  <c r="BC38" i="1"/>
  <c r="BF19" i="1"/>
  <c r="BF89" i="1"/>
  <c r="F89" i="1" s="1"/>
  <c r="BC43" i="1"/>
  <c r="BF45" i="1"/>
  <c r="AT47" i="1"/>
  <c r="BF58" i="1"/>
  <c r="BC31" i="1"/>
  <c r="BF26" i="1"/>
  <c r="BF93" i="1"/>
  <c r="F93" i="1" s="1"/>
  <c r="F57" i="1"/>
  <c r="F75" i="1"/>
  <c r="F91" i="1"/>
  <c r="F64" i="1"/>
  <c r="F77" i="1"/>
  <c r="BH99" i="1" l="1"/>
  <c r="BF99" i="1"/>
  <c r="F88" i="1"/>
  <c r="F42" i="1"/>
  <c r="F90" i="1"/>
  <c r="F80" i="1"/>
  <c r="F70" i="1"/>
  <c r="F71" i="1"/>
  <c r="F29" i="1"/>
  <c r="F83" i="1"/>
  <c r="F81" i="1"/>
  <c r="F76" i="1"/>
  <c r="F67" i="1"/>
  <c r="F69" i="1"/>
  <c r="F79" i="1"/>
  <c r="F92" i="1"/>
  <c r="F60" i="1"/>
  <c r="F37" i="1"/>
  <c r="AQ99" i="1" l="1"/>
  <c r="AE35" i="1" l="1"/>
  <c r="F35" i="1" s="1"/>
  <c r="AE84" i="1"/>
  <c r="F84" i="1" s="1"/>
  <c r="AE82" i="1"/>
  <c r="F82" i="1" s="1"/>
  <c r="AE72" i="1"/>
  <c r="F72" i="1" s="1"/>
  <c r="AE74" i="1"/>
  <c r="F74" i="1" s="1"/>
  <c r="AE66" i="1"/>
  <c r="F66" i="1" s="1"/>
  <c r="AE46" i="1"/>
  <c r="F46" i="1" s="1"/>
  <c r="AE52" i="1"/>
  <c r="F52" i="1" s="1"/>
  <c r="AE39" i="1"/>
  <c r="F39" i="1" s="1"/>
  <c r="AE55" i="1"/>
  <c r="F55" i="1" s="1"/>
  <c r="AE32" i="1"/>
  <c r="F32" i="1" s="1"/>
  <c r="AE9" i="1"/>
  <c r="F9" i="1" s="1"/>
  <c r="AE34" i="1"/>
  <c r="F34" i="1" s="1"/>
  <c r="AE53" i="1"/>
  <c r="F53" i="1" s="1"/>
  <c r="AE24" i="1"/>
  <c r="F24" i="1" s="1"/>
  <c r="AE47" i="1"/>
  <c r="F47" i="1" s="1"/>
  <c r="AE27" i="1"/>
  <c r="F27" i="1" s="1"/>
  <c r="AE61" i="1"/>
  <c r="F61" i="1" s="1"/>
  <c r="AE51" i="1"/>
  <c r="F51" i="1" s="1"/>
  <c r="AE58" i="1"/>
  <c r="F58" i="1" s="1"/>
  <c r="BC99" i="1" l="1"/>
  <c r="AH99" i="1"/>
  <c r="AK99" i="1"/>
  <c r="AT99" i="1"/>
  <c r="AN99" i="1"/>
  <c r="AE23" i="1"/>
  <c r="F23" i="1" s="1"/>
  <c r="AE36" i="1"/>
  <c r="F36" i="1" s="1"/>
  <c r="AE48" i="1"/>
  <c r="F48" i="1" s="1"/>
  <c r="AE50" i="1"/>
  <c r="F50" i="1" s="1"/>
  <c r="AE30" i="1"/>
  <c r="F30" i="1" s="1"/>
  <c r="AE45" i="1"/>
  <c r="F45" i="1" s="1"/>
  <c r="AE62" i="1"/>
  <c r="F62" i="1" s="1"/>
  <c r="AE43" i="1"/>
  <c r="F43" i="1" s="1"/>
  <c r="AE40" i="1"/>
  <c r="F40" i="1" s="1"/>
  <c r="AE19" i="1"/>
  <c r="F19" i="1" s="1"/>
  <c r="AE21" i="1"/>
  <c r="F21" i="1" s="1"/>
  <c r="AE31" i="1"/>
  <c r="F31" i="1" s="1"/>
  <c r="AE11" i="1"/>
  <c r="F11" i="1" s="1"/>
  <c r="AE15" i="1"/>
  <c r="F15" i="1" s="1"/>
  <c r="AE25" i="1"/>
  <c r="F25" i="1" s="1"/>
  <c r="AE28" i="1"/>
  <c r="F28" i="1" s="1"/>
  <c r="AE56" i="1"/>
  <c r="F56" i="1" s="1"/>
  <c r="AE8" i="1"/>
  <c r="F8" i="1" s="1"/>
  <c r="AE12" i="1"/>
  <c r="F12" i="1" s="1"/>
  <c r="AE14" i="1"/>
  <c r="F14" i="1" s="1"/>
  <c r="AE18" i="1"/>
  <c r="F18" i="1" s="1"/>
  <c r="AE6" i="1"/>
  <c r="AE16" i="1"/>
  <c r="F16" i="1" s="1"/>
  <c r="AE5" i="1"/>
  <c r="F5" i="1" s="1"/>
  <c r="AE17" i="1"/>
  <c r="F17" i="1" s="1"/>
  <c r="AE22" i="1"/>
  <c r="F22" i="1" s="1"/>
  <c r="AE33" i="1"/>
  <c r="F33" i="1" s="1"/>
  <c r="AE38" i="1"/>
  <c r="F38" i="1" s="1"/>
  <c r="AE10" i="1"/>
  <c r="F10" i="1" s="1"/>
  <c r="AE20" i="1"/>
  <c r="F20" i="1" s="1"/>
  <c r="AE13" i="1"/>
  <c r="F13" i="1" s="1"/>
  <c r="AE26" i="1"/>
  <c r="F26" i="1" s="1"/>
  <c r="AE49" i="1"/>
  <c r="F49" i="1" s="1"/>
  <c r="AE41" i="1"/>
  <c r="F41" i="1" s="1"/>
  <c r="AE7" i="1"/>
  <c r="F7" i="1" s="1"/>
  <c r="AE99" i="1" l="1"/>
  <c r="F6" i="1"/>
</calcChain>
</file>

<file path=xl/sharedStrings.xml><?xml version="1.0" encoding="utf-8"?>
<sst xmlns="http://schemas.openxmlformats.org/spreadsheetml/2006/main" count="456" uniqueCount="182">
  <si>
    <t>Rank</t>
    <phoneticPr fontId="2" type="noConversion"/>
  </si>
  <si>
    <t>ID</t>
    <phoneticPr fontId="2" type="noConversion"/>
  </si>
  <si>
    <t>Total</t>
    <phoneticPr fontId="2" type="noConversion"/>
  </si>
  <si>
    <t xml:space="preserve">VS 1 </t>
    <phoneticPr fontId="2" type="noConversion"/>
  </si>
  <si>
    <t>VS 2</t>
    <phoneticPr fontId="2" type="noConversion"/>
  </si>
  <si>
    <t>VS 3</t>
    <phoneticPr fontId="2" type="noConversion"/>
  </si>
  <si>
    <t>Don. 1</t>
    <phoneticPr fontId="2" type="noConversion"/>
  </si>
  <si>
    <t>Don. 2</t>
    <phoneticPr fontId="2" type="noConversion"/>
  </si>
  <si>
    <t>Don. 3</t>
    <phoneticPr fontId="2" type="noConversion"/>
  </si>
  <si>
    <t>DS 1</t>
    <phoneticPr fontId="2" type="noConversion"/>
  </si>
  <si>
    <t>DS 2</t>
    <phoneticPr fontId="2" type="noConversion"/>
  </si>
  <si>
    <t>DS 3</t>
    <phoneticPr fontId="2" type="noConversion"/>
  </si>
  <si>
    <t>DS 4</t>
    <phoneticPr fontId="2" type="noConversion"/>
  </si>
  <si>
    <t>指挥官29b561615</t>
    <phoneticPr fontId="2" type="noConversion"/>
  </si>
  <si>
    <t>A20</t>
    <phoneticPr fontId="2" type="noConversion"/>
  </si>
  <si>
    <t>吳董欸</t>
    <phoneticPr fontId="2" type="noConversion"/>
  </si>
  <si>
    <t>B20</t>
    <phoneticPr fontId="2" type="noConversion"/>
  </si>
  <si>
    <t>MMYA</t>
    <phoneticPr fontId="2" type="noConversion"/>
  </si>
  <si>
    <t>極速快閃王者</t>
    <phoneticPr fontId="2" type="noConversion"/>
  </si>
  <si>
    <t>maxdeca</t>
    <phoneticPr fontId="2" type="noConversion"/>
  </si>
  <si>
    <t>UnkoandNiku</t>
    <phoneticPr fontId="2" type="noConversion"/>
  </si>
  <si>
    <t>蘋果拾柒丼</t>
    <phoneticPr fontId="2" type="noConversion"/>
  </si>
  <si>
    <t>KensDarksoul</t>
  </si>
  <si>
    <t>WadaSG</t>
    <phoneticPr fontId="2" type="noConversion"/>
  </si>
  <si>
    <t>OQoQ</t>
    <phoneticPr fontId="2" type="noConversion"/>
  </si>
  <si>
    <t>KnucklesHuang</t>
    <phoneticPr fontId="2" type="noConversion"/>
  </si>
  <si>
    <t>指挥官1bde11615</t>
    <phoneticPr fontId="2" type="noConversion"/>
  </si>
  <si>
    <t>閃耀的心</t>
    <phoneticPr fontId="2" type="noConversion"/>
  </si>
  <si>
    <t>A10</t>
    <phoneticPr fontId="2" type="noConversion"/>
  </si>
  <si>
    <t>tata1974</t>
    <phoneticPr fontId="2" type="noConversion"/>
  </si>
  <si>
    <t>Khoai vn</t>
    <phoneticPr fontId="2" type="noConversion"/>
  </si>
  <si>
    <t>B10</t>
    <phoneticPr fontId="2" type="noConversion"/>
  </si>
  <si>
    <t>荒野土地公</t>
    <phoneticPr fontId="2" type="noConversion"/>
  </si>
  <si>
    <t>跳房子</t>
    <phoneticPr fontId="2" type="noConversion"/>
  </si>
  <si>
    <t>Peach西瓜</t>
    <phoneticPr fontId="2" type="noConversion"/>
  </si>
  <si>
    <t>Vô Cực Ý Đạo</t>
  </si>
  <si>
    <t>Trăng xanh</t>
  </si>
  <si>
    <t>chuanli</t>
    <phoneticPr fontId="2" type="noConversion"/>
  </si>
  <si>
    <t>短腿小姐姐</t>
    <phoneticPr fontId="2" type="noConversion"/>
  </si>
  <si>
    <t>柏睿小子</t>
    <phoneticPr fontId="2" type="noConversion"/>
  </si>
  <si>
    <t>翊髮彌</t>
    <phoneticPr fontId="2" type="noConversion"/>
  </si>
  <si>
    <t>蜜蜂網球王</t>
    <phoneticPr fontId="2" type="noConversion"/>
  </si>
  <si>
    <t>NALE HS</t>
    <phoneticPr fontId="2" type="noConversion"/>
  </si>
  <si>
    <t>鱼梨</t>
    <phoneticPr fontId="2" type="noConversion"/>
  </si>
  <si>
    <t>翻车鱼2</t>
    <phoneticPr fontId="2" type="noConversion"/>
  </si>
  <si>
    <t>SkyRed15</t>
    <phoneticPr fontId="2" type="noConversion"/>
  </si>
  <si>
    <t>ohworia</t>
    <phoneticPr fontId="2" type="noConversion"/>
  </si>
  <si>
    <t>就是VC</t>
    <phoneticPr fontId="2" type="noConversion"/>
  </si>
  <si>
    <t>Rồng Nhỏ</t>
  </si>
  <si>
    <t>Min1976</t>
    <phoneticPr fontId="2" type="noConversion"/>
  </si>
  <si>
    <t>zen</t>
    <phoneticPr fontId="2" type="noConversion"/>
  </si>
  <si>
    <t>Bukit Timah</t>
    <phoneticPr fontId="2" type="noConversion"/>
  </si>
  <si>
    <t>森上 梅有黔</t>
    <phoneticPr fontId="2" type="noConversion"/>
  </si>
  <si>
    <t>buluthz27</t>
    <phoneticPr fontId="2" type="noConversion"/>
  </si>
  <si>
    <t>Laura Chien</t>
    <phoneticPr fontId="2" type="noConversion"/>
  </si>
  <si>
    <t>懶覺供酒桃</t>
    <phoneticPr fontId="2" type="noConversion"/>
  </si>
  <si>
    <t>张Babe</t>
    <phoneticPr fontId="2" type="noConversion"/>
  </si>
  <si>
    <t>Blackeyepeac</t>
    <phoneticPr fontId="2" type="noConversion"/>
  </si>
  <si>
    <t>指挥官370c21615</t>
    <phoneticPr fontId="2" type="noConversion"/>
  </si>
  <si>
    <t>Louiselin</t>
    <phoneticPr fontId="2" type="noConversion"/>
  </si>
  <si>
    <t>MyWayne</t>
    <phoneticPr fontId="2" type="noConversion"/>
  </si>
  <si>
    <t>Kaserna</t>
    <phoneticPr fontId="2" type="noConversion"/>
  </si>
  <si>
    <t>Chỉ Huy 2b8511615</t>
  </si>
  <si>
    <t>詩詩Kwan Mỹ Thi</t>
  </si>
  <si>
    <t>FightningFalcon</t>
    <phoneticPr fontId="2" type="noConversion"/>
  </si>
  <si>
    <t>趴趴熊趴趴</t>
    <phoneticPr fontId="2" type="noConversion"/>
  </si>
  <si>
    <t>tntn2015</t>
    <phoneticPr fontId="2" type="noConversion"/>
  </si>
  <si>
    <t>踴躍發言西挖</t>
    <phoneticPr fontId="2" type="noConversion"/>
  </si>
  <si>
    <t>Nyxaria</t>
    <phoneticPr fontId="2" type="noConversion"/>
  </si>
  <si>
    <t>煞時間</t>
    <phoneticPr fontId="2" type="noConversion"/>
  </si>
  <si>
    <t>黑暗的心</t>
    <phoneticPr fontId="2" type="noConversion"/>
  </si>
  <si>
    <t>HelloChina</t>
    <phoneticPr fontId="2" type="noConversion"/>
  </si>
  <si>
    <t>azan haider</t>
    <phoneticPr fontId="2" type="noConversion"/>
  </si>
  <si>
    <t>布丁狗隊長</t>
    <phoneticPr fontId="2" type="noConversion"/>
  </si>
  <si>
    <t>Đình Chính Nè</t>
  </si>
  <si>
    <t>其小光美</t>
    <phoneticPr fontId="2" type="noConversion"/>
  </si>
  <si>
    <t>DiDaDiDa</t>
    <phoneticPr fontId="2" type="noConversion"/>
  </si>
  <si>
    <t>依柏雷</t>
    <phoneticPr fontId="2" type="noConversion"/>
  </si>
  <si>
    <t>大智若黑鮪魚</t>
    <phoneticPr fontId="2" type="noConversion"/>
  </si>
  <si>
    <t>swat khan1255</t>
    <phoneticPr fontId="2" type="noConversion"/>
  </si>
  <si>
    <t>DuckSide</t>
    <phoneticPr fontId="2" type="noConversion"/>
  </si>
  <si>
    <t>SkullUD</t>
    <phoneticPr fontId="2" type="noConversion"/>
  </si>
  <si>
    <t>奇妙的瀚翰</t>
    <phoneticPr fontId="2" type="noConversion"/>
  </si>
  <si>
    <r>
      <t>s</t>
    </r>
    <r>
      <rPr>
        <sz val="12"/>
        <rFont val="等线"/>
        <family val="2"/>
        <scheme val="minor"/>
      </rPr>
      <t>ơ</t>
    </r>
    <r>
      <rPr>
        <sz val="12"/>
        <rFont val="等线"/>
        <family val="3"/>
        <charset val="134"/>
        <scheme val="minor"/>
      </rPr>
      <t>n 234</t>
    </r>
    <phoneticPr fontId="2" type="noConversion"/>
  </si>
  <si>
    <t>hàn lão ma</t>
  </si>
  <si>
    <t>rd89</t>
    <phoneticPr fontId="2" type="noConversion"/>
  </si>
  <si>
    <t>viper061</t>
  </si>
  <si>
    <t>闊海 頭文字D</t>
    <phoneticPr fontId="2" type="noConversion"/>
  </si>
  <si>
    <t>shang6365</t>
    <phoneticPr fontId="2" type="noConversion"/>
  </si>
  <si>
    <t>G8Team</t>
    <phoneticPr fontId="2" type="noConversion"/>
  </si>
  <si>
    <t>Princess Elsaa</t>
    <phoneticPr fontId="2" type="noConversion"/>
  </si>
  <si>
    <t>FogãoGlacial</t>
  </si>
  <si>
    <t>Akkkkkkkkk2</t>
    <phoneticPr fontId="2" type="noConversion"/>
  </si>
  <si>
    <t>獨孤渣渣</t>
    <phoneticPr fontId="2" type="noConversion"/>
  </si>
  <si>
    <t>AnhGiang226</t>
    <phoneticPr fontId="2" type="noConversion"/>
  </si>
  <si>
    <t>Nirmal kishore</t>
    <phoneticPr fontId="2" type="noConversion"/>
  </si>
  <si>
    <t>守望相助</t>
    <phoneticPr fontId="2" type="noConversion"/>
  </si>
  <si>
    <t>龍王</t>
    <phoneticPr fontId="2" type="noConversion"/>
  </si>
  <si>
    <t>nabuks only help</t>
  </si>
  <si>
    <t>fantasy2999</t>
    <phoneticPr fontId="2" type="noConversion"/>
  </si>
  <si>
    <t>TANG OAO</t>
    <phoneticPr fontId="2" type="noConversion"/>
  </si>
  <si>
    <t>VS 4</t>
    <phoneticPr fontId="2" type="noConversion"/>
  </si>
  <si>
    <t>VS 5</t>
    <phoneticPr fontId="2" type="noConversion"/>
  </si>
  <si>
    <t>Don. 4</t>
    <phoneticPr fontId="2" type="noConversion"/>
  </si>
  <si>
    <t>Don. 5</t>
    <phoneticPr fontId="2" type="noConversion"/>
  </si>
  <si>
    <t>DS 5</t>
    <phoneticPr fontId="2" type="noConversion"/>
  </si>
  <si>
    <t>0201</t>
    <phoneticPr fontId="2" type="noConversion"/>
  </si>
  <si>
    <t>0125</t>
    <phoneticPr fontId="2" type="noConversion"/>
  </si>
  <si>
    <t>0118</t>
    <phoneticPr fontId="2" type="noConversion"/>
  </si>
  <si>
    <t>0208</t>
    <phoneticPr fontId="2" type="noConversion"/>
  </si>
  <si>
    <t>0215</t>
    <phoneticPr fontId="2" type="noConversion"/>
  </si>
  <si>
    <t>Bobs Chillin</t>
    <phoneticPr fontId="2" type="noConversion"/>
  </si>
  <si>
    <t>肥羊不要跑</t>
    <phoneticPr fontId="2" type="noConversion"/>
  </si>
  <si>
    <t>ᴍɪɴɢᴊᴜɴღ</t>
    <phoneticPr fontId="2" type="noConversion"/>
  </si>
  <si>
    <t>Kim anh jojo</t>
    <phoneticPr fontId="2" type="noConversion"/>
  </si>
  <si>
    <t>Sunnmn</t>
    <phoneticPr fontId="2" type="noConversion"/>
  </si>
  <si>
    <t>DS 6</t>
    <phoneticPr fontId="2" type="noConversion"/>
  </si>
  <si>
    <t>DS 7</t>
    <phoneticPr fontId="2" type="noConversion"/>
  </si>
  <si>
    <t>A20</t>
    <phoneticPr fontId="2" type="noConversion"/>
  </si>
  <si>
    <t>A10</t>
    <phoneticPr fontId="2" type="noConversion"/>
  </si>
  <si>
    <t>B20</t>
    <phoneticPr fontId="2" type="noConversion"/>
  </si>
  <si>
    <t>B10</t>
    <phoneticPr fontId="2" type="noConversion"/>
  </si>
  <si>
    <t>RS 1</t>
    <phoneticPr fontId="2" type="noConversion"/>
  </si>
  <si>
    <t>RS 2</t>
    <phoneticPr fontId="2" type="noConversion"/>
  </si>
  <si>
    <t>RS 4</t>
    <phoneticPr fontId="2" type="noConversion"/>
  </si>
  <si>
    <t>RS 5</t>
    <phoneticPr fontId="2" type="noConversion"/>
  </si>
  <si>
    <t>RS 7</t>
    <phoneticPr fontId="2" type="noConversion"/>
  </si>
  <si>
    <t>RS 8</t>
    <phoneticPr fontId="2" type="noConversion"/>
  </si>
  <si>
    <t>0204</t>
    <phoneticPr fontId="2" type="noConversion"/>
  </si>
  <si>
    <t>0207</t>
    <phoneticPr fontId="2" type="noConversion"/>
  </si>
  <si>
    <t>0214</t>
    <phoneticPr fontId="2" type="noConversion"/>
  </si>
  <si>
    <t>0218</t>
    <phoneticPr fontId="2" type="noConversion"/>
  </si>
  <si>
    <t>0225</t>
    <phoneticPr fontId="2" type="noConversion"/>
  </si>
  <si>
    <t>0228</t>
    <phoneticPr fontId="2" type="noConversion"/>
  </si>
  <si>
    <t>Change</t>
    <phoneticPr fontId="2" type="noConversion"/>
  </si>
  <si>
    <t>VS 6</t>
  </si>
  <si>
    <t>Don. 6</t>
  </si>
  <si>
    <t>VS Pts</t>
    <phoneticPr fontId="2" type="noConversion"/>
  </si>
  <si>
    <t>Don. Pts</t>
    <phoneticPr fontId="2" type="noConversion"/>
  </si>
  <si>
    <t>DS Pts</t>
    <phoneticPr fontId="2" type="noConversion"/>
  </si>
  <si>
    <t>RS Pts</t>
    <phoneticPr fontId="2" type="noConversion"/>
  </si>
  <si>
    <t>VS 7</t>
  </si>
  <si>
    <t>Don. 7</t>
  </si>
  <si>
    <t>RS 2'</t>
    <phoneticPr fontId="2" type="noConversion"/>
  </si>
  <si>
    <t>RS 4'</t>
    <phoneticPr fontId="2" type="noConversion"/>
  </si>
  <si>
    <t>RS 5'</t>
    <phoneticPr fontId="2" type="noConversion"/>
  </si>
  <si>
    <t>RS 7'</t>
    <phoneticPr fontId="2" type="noConversion"/>
  </si>
  <si>
    <t>RS 8'</t>
    <phoneticPr fontId="2" type="noConversion"/>
  </si>
  <si>
    <t>Siege</t>
    <phoneticPr fontId="2" type="noConversion"/>
  </si>
  <si>
    <t>(M)</t>
    <phoneticPr fontId="2" type="noConversion"/>
  </si>
  <si>
    <t>(K)</t>
    <phoneticPr fontId="2" type="noConversion"/>
  </si>
  <si>
    <t>0222</t>
    <phoneticPr fontId="2" type="noConversion"/>
  </si>
  <si>
    <t>0301</t>
    <phoneticPr fontId="2" type="noConversion"/>
  </si>
  <si>
    <t>Penalty</t>
    <phoneticPr fontId="2" type="noConversion"/>
  </si>
  <si>
    <t>PEN1</t>
    <phoneticPr fontId="2" type="noConversion"/>
  </si>
  <si>
    <t>PEN2</t>
    <phoneticPr fontId="2" type="noConversion"/>
  </si>
  <si>
    <t>A20</t>
    <phoneticPr fontId="2" type="noConversion"/>
  </si>
  <si>
    <t>RS 6</t>
    <phoneticPr fontId="2" type="noConversion"/>
  </si>
  <si>
    <t>Asst.</t>
    <phoneticPr fontId="2" type="noConversion"/>
  </si>
  <si>
    <t>7</t>
    <phoneticPr fontId="2" type="noConversion"/>
  </si>
  <si>
    <t>√RS 1</t>
    <phoneticPr fontId="2" type="noConversion"/>
  </si>
  <si>
    <t>RS 1’</t>
    <phoneticPr fontId="2" type="noConversion"/>
  </si>
  <si>
    <t>√RS 2</t>
    <phoneticPr fontId="2" type="noConversion"/>
  </si>
  <si>
    <t>√RS 4</t>
    <phoneticPr fontId="2" type="noConversion"/>
  </si>
  <si>
    <t>√RS 5</t>
    <phoneticPr fontId="2" type="noConversion"/>
  </si>
  <si>
    <t>√RS 6</t>
    <phoneticPr fontId="2" type="noConversion"/>
  </si>
  <si>
    <t>RS 6'</t>
    <phoneticPr fontId="2" type="noConversion"/>
  </si>
  <si>
    <t>√RS 7</t>
    <phoneticPr fontId="2" type="noConversion"/>
  </si>
  <si>
    <t>√RS 8</t>
    <phoneticPr fontId="2" type="noConversion"/>
  </si>
  <si>
    <t>RSW</t>
    <phoneticPr fontId="2" type="noConversion"/>
  </si>
  <si>
    <t>√RSW</t>
    <phoneticPr fontId="2" type="noConversion"/>
  </si>
  <si>
    <t>RSW'</t>
    <phoneticPr fontId="2" type="noConversion"/>
  </si>
  <si>
    <t>√Siege</t>
    <phoneticPr fontId="2" type="noConversion"/>
  </si>
  <si>
    <t>Siege‘</t>
    <phoneticPr fontId="2" type="noConversion"/>
  </si>
  <si>
    <t>Asst.'</t>
    <phoneticPr fontId="2" type="noConversion"/>
  </si>
  <si>
    <t>鬼The Ĝĥöśť</t>
    <phoneticPr fontId="2" type="noConversion"/>
  </si>
  <si>
    <r>
      <t xml:space="preserve">Mít </t>
    </r>
    <r>
      <rPr>
        <sz val="12"/>
        <rFont val="等线"/>
        <family val="1"/>
        <scheme val="minor"/>
      </rPr>
      <t>ư</t>
    </r>
    <r>
      <rPr>
        <sz val="12"/>
        <rFont val="等线"/>
        <family val="3"/>
        <charset val="134"/>
        <scheme val="minor"/>
      </rPr>
      <t>ớt 20</t>
    </r>
    <phoneticPr fontId="2" type="noConversion"/>
  </si>
  <si>
    <t>Gà Con 39</t>
  </si>
  <si>
    <t>Thắng mận</t>
  </si>
  <si>
    <t>B20</t>
    <phoneticPr fontId="2" type="noConversion"/>
  </si>
  <si>
    <t>A20</t>
    <phoneticPr fontId="2" type="noConversion"/>
  </si>
  <si>
    <t>https://github.com/PeachMelon666/SWXZ-Alliance-Data/tree/main/S2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</si>
</sst>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_ "/>
    <numFmt numFmtId="177" formatCode="0.0_ "/>
    <numFmt numFmtId="178" formatCode="0.0_);[Red]\(0.0\)"/>
    <numFmt numFmtId="179" formatCode="0.0_ ;[Red]\-0.0\ "/>
    <numFmt numFmtId="180" formatCode="0.0000_);[Red]\(0.0000\)"/>
    <numFmt numFmtId="181" formatCode="0.00_);[Red]\(0.00\)"/>
    <numFmt numFmtId="182" formatCode="0_);[Red]\(0\)"/>
    <numFmt numFmtId="183" formatCode="0_ ;[Red]\-0\ "/>
  </numFmts>
  <fonts count="17" x14ac:knownFonts="1">
    <font>
      <sz val="11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3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  <font>
      <sz val="12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b/>
      <sz val="10"/>
      <name val="等线"/>
      <family val="3"/>
      <charset val="134"/>
      <scheme val="minor"/>
    </font>
    <font>
      <b/>
      <sz val="10"/>
      <color rgb="FFFF0000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2"/>
      <name val="等线"/>
      <family val="1"/>
      <scheme val="minor"/>
    </font>
    <font>
      <b/>
      <sz val="12"/>
      <color rgb="FFFF0000"/>
      <name val="等线"/>
      <family val="3"/>
      <charset val="134"/>
      <scheme val="minor"/>
    </font>
    <font>
      <b/>
      <sz val="12"/>
      <name val="等线"/>
      <family val="3"/>
      <charset val="134"/>
      <scheme val="minor"/>
    </font>
    <font>
      <b/>
      <sz val="13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4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77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8" fontId="5" fillId="0" borderId="0" xfId="0" applyNumberFormat="1" applyFont="1" applyAlignment="1">
      <alignment vertical="center"/>
    </xf>
    <xf numFmtId="178" fontId="10" fillId="0" borderId="0" xfId="0" applyNumberFormat="1" applyFont="1" applyAlignment="1">
      <alignment horizontal="center" vertical="center"/>
    </xf>
    <xf numFmtId="178" fontId="0" fillId="0" borderId="0" xfId="0" applyNumberFormat="1"/>
    <xf numFmtId="176" fontId="8" fillId="0" borderId="0" xfId="0" applyNumberFormat="1" applyFont="1" applyAlignment="1">
      <alignment horizontal="center" vertical="center"/>
    </xf>
    <xf numFmtId="178" fontId="9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180" fontId="5" fillId="0" borderId="0" xfId="0" applyNumberFormat="1" applyFont="1" applyAlignment="1">
      <alignment vertical="center"/>
    </xf>
    <xf numFmtId="180" fontId="10" fillId="0" borderId="0" xfId="0" applyNumberFormat="1" applyFont="1" applyAlignment="1">
      <alignment horizontal="center" vertical="center"/>
    </xf>
    <xf numFmtId="181" fontId="1" fillId="0" borderId="0" xfId="0" applyNumberFormat="1" applyFont="1" applyAlignment="1">
      <alignment horizontal="center" vertical="center"/>
    </xf>
    <xf numFmtId="181" fontId="5" fillId="0" borderId="0" xfId="0" applyNumberFormat="1" applyFont="1" applyAlignment="1">
      <alignment vertical="center"/>
    </xf>
    <xf numFmtId="181" fontId="10" fillId="0" borderId="0" xfId="0" applyNumberFormat="1" applyFont="1" applyAlignment="1">
      <alignment horizontal="center" vertical="center"/>
    </xf>
    <xf numFmtId="182" fontId="1" fillId="0" borderId="0" xfId="0" applyNumberFormat="1" applyFont="1" applyAlignment="1">
      <alignment horizontal="center" vertical="center"/>
    </xf>
    <xf numFmtId="182" fontId="5" fillId="0" borderId="0" xfId="0" applyNumberFormat="1" applyFont="1" applyAlignment="1">
      <alignment vertical="center"/>
    </xf>
    <xf numFmtId="182" fontId="10" fillId="0" borderId="0" xfId="0" applyNumberFormat="1" applyFont="1" applyAlignment="1">
      <alignment horizontal="center" vertical="center"/>
    </xf>
    <xf numFmtId="183" fontId="1" fillId="0" borderId="0" xfId="0" applyNumberFormat="1" applyFont="1" applyAlignment="1">
      <alignment horizontal="center" vertical="center"/>
    </xf>
    <xf numFmtId="183" fontId="5" fillId="0" borderId="0" xfId="0" applyNumberFormat="1" applyFont="1" applyAlignment="1">
      <alignment vertical="center"/>
    </xf>
    <xf numFmtId="183" fontId="10" fillId="0" borderId="0" xfId="0" applyNumberFormat="1" applyFont="1" applyAlignment="1">
      <alignment horizontal="center" vertical="center"/>
    </xf>
    <xf numFmtId="183" fontId="0" fillId="0" borderId="0" xfId="0" applyNumberFormat="1"/>
    <xf numFmtId="183" fontId="9" fillId="0" borderId="0" xfId="0" applyNumberFormat="1" applyFont="1" applyAlignment="1">
      <alignment horizontal="center" vertical="center"/>
    </xf>
    <xf numFmtId="178" fontId="1" fillId="2" borderId="0" xfId="0" applyNumberFormat="1" applyFont="1" applyFill="1" applyAlignment="1">
      <alignment horizontal="center" vertical="center"/>
    </xf>
    <xf numFmtId="182" fontId="1" fillId="2" borderId="0" xfId="0" applyNumberFormat="1" applyFont="1" applyFill="1" applyAlignment="1">
      <alignment horizontal="center" vertical="center"/>
    </xf>
    <xf numFmtId="180" fontId="1" fillId="2" borderId="0" xfId="0" applyNumberFormat="1" applyFont="1" applyFill="1" applyAlignment="1">
      <alignment horizontal="center" vertical="center"/>
    </xf>
    <xf numFmtId="183" fontId="1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83" fontId="1" fillId="0" borderId="0" xfId="0" applyNumberFormat="1" applyFont="1" applyFill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82" fontId="1" fillId="0" borderId="0" xfId="0" applyNumberFormat="1" applyFont="1" applyFill="1" applyAlignment="1">
      <alignment horizontal="center" vertical="center"/>
    </xf>
    <xf numFmtId="179" fontId="13" fillId="0" borderId="0" xfId="0" applyNumberFormat="1" applyFont="1" applyAlignment="1">
      <alignment horizontal="center" vertical="center"/>
    </xf>
    <xf numFmtId="179" fontId="14" fillId="0" borderId="0" xfId="0" applyNumberFormat="1" applyFont="1" applyAlignment="1">
      <alignment horizontal="center" vertical="center"/>
    </xf>
    <xf numFmtId="179" fontId="15" fillId="0" borderId="0" xfId="0" applyNumberFormat="1" applyFont="1"/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9" fontId="8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79" fontId="13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79" fontId="13" fillId="0" borderId="8" xfId="0" applyNumberFormat="1" applyFont="1" applyBorder="1" applyAlignment="1">
      <alignment horizontal="center" vertical="center"/>
    </xf>
    <xf numFmtId="0" fontId="16" fillId="0" borderId="0" xfId="0" applyFont="1"/>
  </cellXfs>
  <cellStyles count="1">
    <cellStyle name="常规" xfId="0" builtinId="0"/>
  </cellStyles>
  <dxfs count="6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等线"/>
        <family val="3"/>
        <charset val="134"/>
        <scheme val="minor"/>
      </font>
      <numFmt numFmtId="179" formatCode="0.0_ ;[Red]\-0.0\ 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等线"/>
        <charset val="134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等线"/>
        <family val="3"/>
        <charset val="134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83" formatCode="0_ ;[Red]\-0\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83" formatCode="0_ ;[Red]\-0\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83" formatCode="0_ ;[Red]\-0\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82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80" formatCode="0.0000_);[Red]\(0.00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81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82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8" formatCode="0.0_);[Red]\(0.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family val="2"/>
        <scheme val="minor"/>
      </font>
      <numFmt numFmtId="176" formatCode="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等线"/>
        <family val="2"/>
        <scheme val="none"/>
      </font>
      <numFmt numFmtId="177" formatCode="0.0_ "/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charset val="134"/>
        <scheme val="minor"/>
      </font>
      <numFmt numFmtId="177" formatCode="0.0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C483F7-F2E9-42D4-9174-77E43B1083AC}" name="表2_34" displayName="表2_34" ref="C4:BK97" totalsRowShown="0" headerRowDxfId="63" dataDxfId="62" tableBorderDxfId="61">
  <sortState xmlns:xlrd2="http://schemas.microsoft.com/office/spreadsheetml/2017/richdata2" ref="C5:BJ97">
    <sortCondition descending="1" ref="F4:F97"/>
  </sortState>
  <tableColumns count="61">
    <tableColumn id="17" xr3:uid="{6A06E39B-D8C3-429F-A05F-08FB3594B806}" name="Rank" dataDxfId="3"/>
    <tableColumn id="18" xr3:uid="{8C6A6C70-59C2-494F-AA68-CA4EF94052E3}" name="Change" dataDxfId="2">
      <calculatedColumnFormula>IF(C5&lt;B5,"▲"&amp;B5-C5,IF(C5&gt;B5,"▼"&amp;C5-B5,"—"))</calculatedColumnFormula>
    </tableColumn>
    <tableColumn id="4" xr3:uid="{17A06068-1746-4E99-9090-7ACC8C4E3FE0}" name="ID" dataDxfId="1"/>
    <tableColumn id="13" xr3:uid="{6A3C489E-725B-4700-8E30-7A940145EB3E}" name="Total" dataDxfId="0">
      <calculatedColumnFormula>IF(COUNTIF(H5:L5,"&gt;=0")=0,0,SUMIF(H5:L5,"&gt;=0",H5:L5)*3/COUNTIF(H5:L5,"&gt;=0"))
 +IF(COUNTIF(P5:T5,"&gt;=0")=0,0,SUMIF(P5:T5,"&gt;=0",P5:T5)*0.2*3/COUNTIF(P5:T5,"&gt;=0"))
 +SUMPRODUCT(IF(X5:Z5="",0,VALUE(MID(X5:Z5,2,99))))</calculatedColumnFormula>
    </tableColumn>
    <tableColumn id="33" xr3:uid="{8B5A960F-2BA1-415D-B8FF-2ABEA1930962}" name="VS Pts" dataDxfId="4">
      <calculatedColumnFormula>IF(COUNTIF(H5:INDEX(H5:N5,$B$1),"&gt;0")=0,0,
SUMIF(H5:INDEX(H5:N5,$B$1),"&gt;0",H5:INDEX(H5:N5,$B$1))*$B$1/COUNTIF(H5:INDEX(H5:N5,$B$1),"&gt;0")*
IF($B$1-COUNTIF(H5:INDEX(H5:N5,$B$1),"&gt;0")&lt;=2,1,
IF($B$1-COUNTIF(H5:INDEX(H5:N5,$B$1),"&gt;0")=3,0.8,
IF($B$1-COUNTIF(H5:INDEX(H5:N5,$B$1),"&gt;0")=4,0.6,
IF($B$1-COUNTIF(H5:INDEX(H5:N5,$B$1),"&gt;0")=5,0.4,
IF($B$1-COUNTIF(H5:INDEX(H5:N5,$B$1),"&gt;0")=6,0.2,0))))))</calculatedColumnFormula>
    </tableColumn>
    <tableColumn id="1" xr3:uid="{79574B48-58CC-4460-8852-B4041DAE81FB}" name="VS 1 " dataDxfId="60"/>
    <tableColumn id="6" xr3:uid="{DD7D5BA3-362A-4905-82E2-9D36218EA3CC}" name="VS 2" dataDxfId="59"/>
    <tableColumn id="3" xr3:uid="{6C9654F4-7A8C-4E30-935E-3FFC36618A6D}" name="VS 3" dataDxfId="58"/>
    <tableColumn id="14" xr3:uid="{5654E104-75E9-42DB-B02B-CD85F1047F8B}" name="VS 4" dataDxfId="57"/>
    <tableColumn id="11" xr3:uid="{A9416FAF-6C60-4749-830D-CF9CE45FDEB7}" name="VS 5" dataDxfId="56"/>
    <tableColumn id="37" xr3:uid="{D5D02F72-8BC6-4EE7-8762-F3F76682EA0E}" name="VS 6" dataDxfId="55"/>
    <tableColumn id="38" xr3:uid="{BE69E98A-4CBA-4BB7-89A8-6A7F10BC74EC}" name="VS 7" dataDxfId="54"/>
    <tableColumn id="34" xr3:uid="{F12A7D92-F1AA-440A-BCA3-B890CEC31821}" name="Don. Pts" dataDxfId="53">
      <calculatedColumnFormula>0.2*IF(COUNTIF(P5:INDEX(P5:V5,$B$1),"&gt;0")=0,0,
(SUMIF(P5:INDEX(P5:V5,$B$1),"&gt;0",P5:INDEX(P5:V5,$B$1))*$B$1/COUNTIF(P5:INDEX(P5:V5,$B$1),"&gt;0"))*
IF($B$1-COUNTIF(P5:INDEX(P5:V5,$B$1),"&gt;0")&lt;=2,1,
IF($B$1-COUNTIF(P5:INDEX(P5:V5,$B$1),"&gt;0")=3,0.8,
IF($B$1-COUNTIF(P5:INDEX(P5:V5,$B$1),"&gt;0")=4,0.6,
IF($B$1-COUNTIF(P5:INDEX(P5:V5,$B$1),"&gt;0")=5,0.4,
IF($B$1-COUNTIF(P5:INDEX(P5:V5,$B$1),"&gt;0")=6,0.2,0))))))</calculatedColumnFormula>
    </tableColumn>
    <tableColumn id="2" xr3:uid="{69B6E91F-160C-4133-904A-AF40A5E39C6D}" name="Don. 1" dataDxfId="52"/>
    <tableColumn id="7" xr3:uid="{817C40E3-E40E-4F57-8E2A-0DA1375C36A4}" name="Don. 2" dataDxfId="51"/>
    <tableColumn id="8" xr3:uid="{F10A3310-F711-4D22-8A79-0C278F02759E}" name="Don. 3" dataDxfId="50"/>
    <tableColumn id="16" xr3:uid="{DA077ABF-C5C6-4817-ABE4-DB0A01F3BB30}" name="Don. 4" dataDxfId="49"/>
    <tableColumn id="15" xr3:uid="{4CC9D5D6-AE54-4427-8C86-2C691F95699D}" name="Don. 5" dataDxfId="48"/>
    <tableColumn id="39" xr3:uid="{C804A683-2A2D-4DCB-BD4D-3F161FA3EE10}" name="Don. 6" dataDxfId="47"/>
    <tableColumn id="40" xr3:uid="{F0530406-C187-4731-AFA9-DF46853B45D1}" name="Don. 7" dataDxfId="46"/>
    <tableColumn id="35" xr3:uid="{88D5A743-CD6B-42FD-9B9F-664E0DB0AB7B}" name="DS Pts" dataDxfId="45">
      <calculatedColumnFormula>MIN(100,
IF($B$1&gt;=1,IFERROR(VALUE(SUBSTITUTE(SUBSTITUTE(TRIM(X5),"A",""),"B","")),0),0)+
IF($B$1&gt;=2,IFERROR(VALUE(SUBSTITUTE(SUBSTITUTE(TRIM(Y5),"A",""),"B","")),0),0)+
IF($B$1&gt;=3,IFERROR(VALUE(SUBSTITUTE(SUBSTITUTE(TRIM(Z5),"A",""),"B","")),0),0)+
IF($B$1&gt;=4,IFERROR(VALUE(SUBSTITUTE(SUBSTITUTE(TRIM(AA5),"A",""),"B","")),0),0)+
IF($B$1&gt;=5,IFERROR(VALUE(SUBSTITUTE(SUBSTITUTE(TRIM(AB5),"A",""),"B","")),0),0)+
IF($B$1&gt;=6,IFERROR(VALUE(SUBSTITUTE(SUBSTITUTE(TRIM(AC5),"A",""),"B","")),0),0)+
IF($B$1&gt;=7,IFERROR(VALUE(SUBSTITUTE(SUBSTITUTE(TRIM(AD5),"A",""),"B","")),0),0)
)</calculatedColumnFormula>
    </tableColumn>
    <tableColumn id="5" xr3:uid="{08477F0F-D100-41D5-96CF-E74959746F34}" name="DS 1" dataDxfId="44"/>
    <tableColumn id="9" xr3:uid="{E59EABCD-E058-4CDB-B8C0-3AE93CB743CB}" name="DS 2" dataDxfId="43"/>
    <tableColumn id="10" xr3:uid="{31E4A0FE-BC2C-4F43-BD0C-221F397BB1AC}" name="DS 3" dataDxfId="42"/>
    <tableColumn id="12" xr3:uid="{DF2BD9BE-A6DD-4F14-A385-0CA210F90207}" name="DS 4" dataDxfId="41"/>
    <tableColumn id="19" xr3:uid="{90F75517-A609-4A5F-9914-6D98847E22FC}" name="DS 5" dataDxfId="40"/>
    <tableColumn id="20" xr3:uid="{65EC333C-8371-4F93-A333-E59FF0104949}" name="DS 6" dataDxfId="39"/>
    <tableColumn id="21" xr3:uid="{BF345A47-2C50-44A8-B182-4A51275D1270}" name="DS 7" dataDxfId="38"/>
    <tableColumn id="36" xr3:uid="{450FFABF-74BB-4969-B1CE-774DE511076F}" name="RS Pts" dataDxfId="37">
      <calculatedColumnFormula>AH5+AK5+AN5+AQ5+AW5+AZ5+BC5</calculatedColumnFormula>
    </tableColumn>
    <tableColumn id="25" xr3:uid="{A5965051-87B5-41B0-99E2-49288DD3C6B5}" name="RS 1" dataDxfId="36"/>
    <tableColumn id="23" xr3:uid="{BA56BB0E-36C3-4840-9F0F-1B0E4D9BF5C9}" name="√RS 1" dataDxfId="35">
      <calculatedColumnFormula>SQRT(AF5)</calculatedColumnFormula>
    </tableColumn>
    <tableColumn id="42" xr3:uid="{A9C75C7B-093A-4CCA-9707-43FF01F78E68}" name="RS 1’" dataDxfId="34">
      <calculatedColumnFormula>IF(AG5&gt;0,AG5/AG$99*1000, 0)</calculatedColumnFormula>
    </tableColumn>
    <tableColumn id="24" xr3:uid="{A2317148-5743-4408-A6AA-FAD25A8FEF26}" name="RS 2" dataDxfId="33"/>
    <tableColumn id="41" xr3:uid="{B91F7837-1C63-46AA-BBBB-C794C856774B}" name="√RS 2" dataDxfId="32">
      <calculatedColumnFormula>SQRT(AI5)</calculatedColumnFormula>
    </tableColumn>
    <tableColumn id="43" xr3:uid="{564085A9-7D51-4BE8-8C4E-B2A224EDEB0B}" name="RS 2'" dataDxfId="31">
      <calculatedColumnFormula>IF(AJ5&gt;0,AJ5/AJ$99*1000, 0)</calculatedColumnFormula>
    </tableColumn>
    <tableColumn id="29" xr3:uid="{6F3C09FE-DD11-42CD-8679-83E89B230766}" name="RS 4" dataDxfId="30"/>
    <tableColumn id="56" xr3:uid="{4F492C15-C779-4C15-93C5-75FEAF1DD429}" name="√RS 4" dataDxfId="29">
      <calculatedColumnFormula>SQRT(AL5)</calculatedColumnFormula>
    </tableColumn>
    <tableColumn id="44" xr3:uid="{45E1042F-EFD8-4993-B970-C043154A16F1}" name="RS 4'" dataDxfId="28">
      <calculatedColumnFormula>IF(AM5&gt;0,AM5/AM$99*1000, 0)</calculatedColumnFormula>
    </tableColumn>
    <tableColumn id="28" xr3:uid="{05D9E44F-E886-4C16-B1CF-EC95AC449BE9}" name="RS 5" dataDxfId="27"/>
    <tableColumn id="59" xr3:uid="{A0AA4B46-05F2-41E1-9030-DBFE4377D6A5}" name="√RS 5" dataDxfId="26">
      <calculatedColumnFormula>SQRT(AO5)</calculatedColumnFormula>
    </tableColumn>
    <tableColumn id="45" xr3:uid="{B710BA02-F8BF-4C8B-90BC-3345628489EE}" name="RS 5'" dataDxfId="25">
      <calculatedColumnFormula>IF(AP5&gt;0,AP5/AP$99*1000, 0)</calculatedColumnFormula>
    </tableColumn>
    <tableColumn id="66" xr3:uid="{624560B9-BD48-45F9-9664-6758EBBDB4C8}" name="RS 6" dataDxfId="24"/>
    <tableColumn id="65" xr3:uid="{76E15DD4-7CA8-4CB1-BC66-F279D702EE88}" name="√RS 6" dataDxfId="23">
      <calculatedColumnFormula>SQRT(AR5)</calculatedColumnFormula>
    </tableColumn>
    <tableColumn id="55" xr3:uid="{C33DF8DB-5C9D-4105-BA20-4AD030DB7B54}" name="RS 6'" dataDxfId="22">
      <calculatedColumnFormula>IF(AS5&gt;0,AS5/AS$99*1000, 0)</calculatedColumnFormula>
    </tableColumn>
    <tableColumn id="26" xr3:uid="{A76790A4-4468-4835-866B-B4D65A67F51C}" name="RS 7" dataDxfId="21"/>
    <tableColumn id="57" xr3:uid="{386027D6-70D6-4363-B3A1-D323460ED417}" name="√RS 7" dataDxfId="20">
      <calculatedColumnFormula>SQRT(AU5)</calculatedColumnFormula>
    </tableColumn>
    <tableColumn id="47" xr3:uid="{BAFF13D6-138C-47EC-B019-5744B1E89F75}" name="RS 7'" dataDxfId="19">
      <calculatedColumnFormula>IF(AV5&gt;0,AV5/AV$99*1000, 0)</calculatedColumnFormula>
    </tableColumn>
    <tableColumn id="30" xr3:uid="{03E000CA-925F-4572-B7A1-7AC72D4C8B15}" name="RS 8" dataDxfId="18"/>
    <tableColumn id="58" xr3:uid="{33601B2E-F090-491A-8DB9-8A9F762BCDA7}" name="√RS 8" dataDxfId="17">
      <calculatedColumnFormula>SQRT(AX5)</calculatedColumnFormula>
    </tableColumn>
    <tableColumn id="48" xr3:uid="{E0334814-3BB8-4571-BF76-FF28669BE1B5}" name="RS 8'" dataDxfId="16">
      <calculatedColumnFormula>IF(AY5&gt;0,AY5/AY$99*1000, 0)</calculatedColumnFormula>
    </tableColumn>
    <tableColumn id="31" xr3:uid="{B053329F-CDA1-45A0-BEC0-67CFB450C924}" name="RSW" dataDxfId="15"/>
    <tableColumn id="61" xr3:uid="{0CA3E2DD-2ED9-44A3-B4C0-4FBD0C13CE85}" name="√RSW" dataDxfId="14">
      <calculatedColumnFormula>SQRT(BA5)</calculatedColumnFormula>
    </tableColumn>
    <tableColumn id="60" xr3:uid="{3934AE8F-557C-4CD3-9D85-06F09AE93940}" name="RSW'" dataDxfId="13">
      <calculatedColumnFormula>IF(BB5&gt;0,BB5/BB$99*1000, 0)</calculatedColumnFormula>
    </tableColumn>
    <tableColumn id="32" xr3:uid="{14FF6526-A55E-4620-8BC5-8DC30D357B00}" name="Siege" dataDxfId="12"/>
    <tableColumn id="62" xr3:uid="{F5267921-3A4A-4076-BCCA-FC5D0B5DA6AB}" name="√Siege" dataDxfId="11">
      <calculatedColumnFormula>SQRT(BD5)</calculatedColumnFormula>
    </tableColumn>
    <tableColumn id="52" xr3:uid="{5A165D45-C504-4BA9-934E-F28810DA52D3}" name="Siege‘" dataDxfId="10">
      <calculatedColumnFormula>IF(BE5&gt;0, BE5/BE$99*10000, 0)</calculatedColumnFormula>
    </tableColumn>
    <tableColumn id="49" xr3:uid="{EA4ABEA4-511A-48D3-AE71-60CA6F8D7915}" name="Asst." dataDxfId="9"/>
    <tableColumn id="53" xr3:uid="{E3EAA3EB-9AC4-4C5C-99CC-2ECF086EA27C}" name="Asst.'" dataDxfId="8">
      <calculatedColumnFormula>IF(BG5&gt;0, BG5/BG$99*2000, 0)</calculatedColumnFormula>
    </tableColumn>
    <tableColumn id="27" xr3:uid="{89207A83-BD83-4C13-A2F0-6D93558926C8}" name="PEN1" dataDxfId="6"/>
    <tableColumn id="46" xr3:uid="{71C80FC8-07D8-4CC0-8858-B043B7A54320}" name="PEN2" dataDxfId="7"/>
    <tableColumn id="54" xr3:uid="{2B6EA9D6-5B5F-4E51-8DB9-7EF04ACA2991}" name="Penalty" dataDxfId="5">
      <calculatedColumnFormula>BJ5+BI5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75510-605A-4415-BB14-C701B4750A47}">
  <sheetPr>
    <pageSetUpPr fitToPage="1"/>
  </sheetPr>
  <dimension ref="A1:CL101"/>
  <sheetViews>
    <sheetView showGridLines="0" tabSelected="1" zoomScale="90" zoomScaleNormal="90" workbookViewId="0">
      <pane xSplit="6" ySplit="4" topLeftCell="G5" activePane="bottomRight" state="frozen"/>
      <selection pane="topRight" activeCell="F1" sqref="F1"/>
      <selection pane="bottomLeft" activeCell="A4" sqref="A4"/>
      <selection pane="bottomRight"/>
    </sheetView>
  </sheetViews>
  <sheetFormatPr defaultColWidth="9" defaultRowHeight="0" customHeight="1" zeroHeight="1" x14ac:dyDescent="0.25"/>
  <cols>
    <col min="1" max="1" width="5.6640625" style="1" customWidth="1"/>
    <col min="2" max="2" width="0" hidden="1" customWidth="1"/>
    <col min="5" max="5" width="20.6640625" style="1" customWidth="1"/>
    <col min="6" max="6" width="10.77734375" style="45" customWidth="1"/>
    <col min="7" max="7" width="10.77734375" style="16" customWidth="1"/>
    <col min="8" max="9" width="10.77734375" style="2" hidden="1" customWidth="1"/>
    <col min="10" max="10" width="10.77734375" style="3" hidden="1" customWidth="1"/>
    <col min="11" max="14" width="10.77734375" style="2" hidden="1" customWidth="1"/>
    <col min="15" max="15" width="10.77734375" style="19" customWidth="1"/>
    <col min="16" max="16" width="10.77734375" hidden="1" customWidth="1"/>
    <col min="17" max="22" width="10.77734375" style="3" hidden="1" customWidth="1"/>
    <col min="23" max="23" width="10.77734375" style="3" customWidth="1"/>
    <col min="24" max="24" width="10.77734375" hidden="1" customWidth="1"/>
    <col min="25" max="30" width="10.77734375" style="3" hidden="1" customWidth="1"/>
    <col min="31" max="31" width="10.77734375" style="13" customWidth="1"/>
    <col min="32" max="34" width="10.77734375" style="13" hidden="1" customWidth="1"/>
    <col min="35" max="37" width="10.77734375" style="16" hidden="1" customWidth="1"/>
    <col min="38" max="52" width="10.77734375" style="13" hidden="1" customWidth="1"/>
    <col min="53" max="53" width="10.77734375" style="27" hidden="1" customWidth="1"/>
    <col min="54" max="55" width="10.77734375" style="13" hidden="1" customWidth="1"/>
    <col min="56" max="56" width="10.77734375" style="24" hidden="1" customWidth="1"/>
    <col min="57" max="57" width="10.77734375" style="21" hidden="1" customWidth="1"/>
    <col min="58" max="58" width="10.77734375" style="13" customWidth="1"/>
    <col min="59" max="59" width="10.77734375" style="27" hidden="1" customWidth="1"/>
    <col min="60" max="60" width="10.77734375" style="16" customWidth="1"/>
    <col min="61" max="61" width="0" hidden="1" customWidth="1"/>
    <col min="62" max="62" width="10.77734375" style="30" hidden="1" customWidth="1"/>
    <col min="63" max="64" width="10.77734375" style="33" customWidth="1"/>
    <col min="71" max="72" width="10.77734375" style="3" customWidth="1"/>
    <col min="77" max="77" width="10.6640625" style="7" customWidth="1"/>
    <col min="78" max="78" width="10.6640625" style="3" customWidth="1"/>
    <col min="79" max="82" width="9" style="7"/>
    <col min="83" max="85" width="10.6640625" style="3" customWidth="1"/>
    <col min="86" max="89" width="9" style="7"/>
    <col min="90" max="90" width="10.6640625" style="3" customWidth="1"/>
    <col min="91" max="93" width="10.6640625" style="1" customWidth="1"/>
    <col min="94" max="111" width="9" style="1" customWidth="1"/>
    <col min="112" max="16384" width="9" style="1"/>
  </cols>
  <sheetData>
    <row r="1" spans="2:90" s="11" customFormat="1" ht="20.100000000000001" customHeight="1" x14ac:dyDescent="0.25">
      <c r="B1" s="11" t="s">
        <v>159</v>
      </c>
      <c r="E1" s="12"/>
      <c r="F1" s="43"/>
      <c r="G1" s="19"/>
      <c r="H1" s="11" t="s">
        <v>108</v>
      </c>
      <c r="I1" s="11" t="s">
        <v>107</v>
      </c>
      <c r="J1" s="11" t="s">
        <v>106</v>
      </c>
      <c r="K1" s="11" t="s">
        <v>109</v>
      </c>
      <c r="L1" s="11" t="s">
        <v>110</v>
      </c>
      <c r="M1" s="11" t="s">
        <v>151</v>
      </c>
      <c r="N1" s="11" t="s">
        <v>152</v>
      </c>
      <c r="O1" s="13"/>
      <c r="AE1" s="13"/>
      <c r="AF1" s="13" t="s">
        <v>128</v>
      </c>
      <c r="AG1" s="13"/>
      <c r="AH1" s="13"/>
      <c r="AI1" s="13" t="s">
        <v>129</v>
      </c>
      <c r="AJ1" s="13"/>
      <c r="AK1" s="13"/>
      <c r="AL1" s="13" t="s">
        <v>130</v>
      </c>
      <c r="AM1" s="13"/>
      <c r="AN1" s="13"/>
      <c r="AO1" s="13" t="s">
        <v>131</v>
      </c>
      <c r="AP1" s="13"/>
      <c r="AQ1" s="13"/>
      <c r="AR1" s="13"/>
      <c r="AS1" s="13"/>
      <c r="AT1" s="13"/>
      <c r="AU1" s="13" t="s">
        <v>132</v>
      </c>
      <c r="AV1" s="13"/>
      <c r="AW1" s="13"/>
      <c r="AX1" s="13" t="s">
        <v>133</v>
      </c>
      <c r="AY1" s="13"/>
      <c r="AZ1" s="13"/>
      <c r="BA1" s="27"/>
      <c r="BB1" s="13"/>
      <c r="BC1" s="13"/>
      <c r="BD1" s="24"/>
      <c r="BE1" s="21"/>
      <c r="BF1" s="13"/>
      <c r="BG1" s="27"/>
      <c r="BH1" s="13"/>
      <c r="BI1" s="30"/>
      <c r="BJ1" s="30"/>
      <c r="BK1" s="30"/>
    </row>
    <row r="2" spans="2:90" ht="39.9" customHeight="1" x14ac:dyDescent="0.3">
      <c r="B2" s="1"/>
      <c r="C2" s="1"/>
      <c r="D2" s="1"/>
      <c r="E2" s="58" t="s">
        <v>181</v>
      </c>
      <c r="F2" s="44"/>
      <c r="G2" s="20"/>
      <c r="H2" s="4"/>
      <c r="I2" s="3"/>
      <c r="J2" s="4"/>
      <c r="K2" s="3"/>
      <c r="L2" s="3"/>
      <c r="M2" s="3"/>
      <c r="N2" s="3"/>
      <c r="O2" s="13"/>
      <c r="P2" s="3"/>
      <c r="Q2" s="4"/>
      <c r="R2" s="5"/>
      <c r="S2" s="4"/>
      <c r="T2" s="4"/>
      <c r="U2" s="4"/>
      <c r="V2" s="4"/>
      <c r="W2" s="4"/>
      <c r="X2" s="5"/>
      <c r="Y2" s="5"/>
      <c r="Z2" s="5"/>
      <c r="AA2" s="5"/>
      <c r="AB2" s="5"/>
      <c r="AC2" s="5"/>
      <c r="AD2" s="5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28"/>
      <c r="BB2" s="14"/>
      <c r="BC2" s="14"/>
      <c r="BD2" s="25"/>
      <c r="BE2" s="22"/>
      <c r="BF2" s="14"/>
      <c r="BG2" s="28"/>
      <c r="BH2" s="14"/>
      <c r="BI2" s="31"/>
      <c r="BJ2" s="31"/>
      <c r="BK2" s="31"/>
      <c r="BL2" s="3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2:90" s="11" customFormat="1" ht="20.100000000000001" customHeight="1" thickBot="1" x14ac:dyDescent="0.3">
      <c r="E3" s="12"/>
      <c r="F3" s="43"/>
      <c r="G3" s="19"/>
      <c r="H3" s="11" t="s">
        <v>149</v>
      </c>
      <c r="I3" s="11" t="s">
        <v>149</v>
      </c>
      <c r="J3" s="11" t="s">
        <v>149</v>
      </c>
      <c r="K3" s="11" t="s">
        <v>149</v>
      </c>
      <c r="L3" s="11" t="s">
        <v>149</v>
      </c>
      <c r="M3" s="11" t="s">
        <v>149</v>
      </c>
      <c r="N3" s="11" t="s">
        <v>149</v>
      </c>
      <c r="O3" s="13"/>
      <c r="P3" s="11" t="s">
        <v>150</v>
      </c>
      <c r="Q3" s="11" t="s">
        <v>150</v>
      </c>
      <c r="R3" s="11" t="s">
        <v>150</v>
      </c>
      <c r="S3" s="11" t="s">
        <v>150</v>
      </c>
      <c r="T3" s="11" t="s">
        <v>150</v>
      </c>
      <c r="U3" s="11" t="s">
        <v>150</v>
      </c>
      <c r="V3" s="11" t="s">
        <v>150</v>
      </c>
      <c r="AE3" s="13"/>
      <c r="AF3" s="13" t="s">
        <v>149</v>
      </c>
      <c r="AG3" s="13"/>
      <c r="AH3" s="13"/>
      <c r="AI3" s="13" t="s">
        <v>149</v>
      </c>
      <c r="AJ3" s="13"/>
      <c r="AK3" s="13"/>
      <c r="AL3" s="13" t="s">
        <v>149</v>
      </c>
      <c r="AM3" s="13"/>
      <c r="AN3" s="13"/>
      <c r="AO3" s="13" t="s">
        <v>149</v>
      </c>
      <c r="AP3" s="13"/>
      <c r="AQ3" s="13"/>
      <c r="AR3" s="13" t="s">
        <v>149</v>
      </c>
      <c r="AS3" s="13"/>
      <c r="AT3" s="13"/>
      <c r="AU3" s="13" t="s">
        <v>149</v>
      </c>
      <c r="AV3" s="13"/>
      <c r="AW3" s="13"/>
      <c r="AX3" s="13" t="s">
        <v>149</v>
      </c>
      <c r="AY3" s="13"/>
      <c r="AZ3" s="13"/>
      <c r="BA3" s="13" t="s">
        <v>150</v>
      </c>
      <c r="BB3" s="13"/>
      <c r="BC3" s="13"/>
      <c r="BD3" s="24" t="s">
        <v>149</v>
      </c>
      <c r="BE3" s="21"/>
      <c r="BF3" s="13"/>
      <c r="BG3" s="27" t="s">
        <v>149</v>
      </c>
      <c r="BH3" s="13"/>
      <c r="BI3" s="30"/>
      <c r="BJ3" s="30"/>
      <c r="BK3" s="30"/>
    </row>
    <row r="4" spans="2:90" s="8" customFormat="1" ht="20.100000000000001" customHeight="1" x14ac:dyDescent="0.25">
      <c r="C4" s="46" t="s">
        <v>0</v>
      </c>
      <c r="D4" s="47" t="s">
        <v>134</v>
      </c>
      <c r="E4" s="48" t="s">
        <v>1</v>
      </c>
      <c r="F4" s="49" t="s">
        <v>2</v>
      </c>
      <c r="G4" s="18" t="s">
        <v>137</v>
      </c>
      <c r="H4" s="17" t="s">
        <v>3</v>
      </c>
      <c r="I4" s="17" t="s">
        <v>4</v>
      </c>
      <c r="J4" s="17" t="s">
        <v>5</v>
      </c>
      <c r="K4" s="17" t="s">
        <v>101</v>
      </c>
      <c r="L4" s="17" t="s">
        <v>102</v>
      </c>
      <c r="M4" s="17" t="s">
        <v>135</v>
      </c>
      <c r="N4" s="17" t="s">
        <v>141</v>
      </c>
      <c r="O4" s="18" t="s">
        <v>138</v>
      </c>
      <c r="P4" s="10" t="s">
        <v>6</v>
      </c>
      <c r="Q4" s="10" t="s">
        <v>7</v>
      </c>
      <c r="R4" s="10" t="s">
        <v>8</v>
      </c>
      <c r="S4" s="10" t="s">
        <v>103</v>
      </c>
      <c r="T4" s="10" t="s">
        <v>104</v>
      </c>
      <c r="U4" s="10" t="s">
        <v>136</v>
      </c>
      <c r="V4" s="10" t="s">
        <v>142</v>
      </c>
      <c r="W4" s="9" t="s">
        <v>139</v>
      </c>
      <c r="X4" s="10" t="s">
        <v>9</v>
      </c>
      <c r="Y4" s="10" t="s">
        <v>10</v>
      </c>
      <c r="Z4" s="10" t="s">
        <v>11</v>
      </c>
      <c r="AA4" s="10" t="s">
        <v>12</v>
      </c>
      <c r="AB4" s="10" t="s">
        <v>105</v>
      </c>
      <c r="AC4" s="10" t="s">
        <v>116</v>
      </c>
      <c r="AD4" s="10" t="s">
        <v>117</v>
      </c>
      <c r="AE4" s="18" t="s">
        <v>140</v>
      </c>
      <c r="AF4" s="15" t="s">
        <v>122</v>
      </c>
      <c r="AG4" s="15" t="s">
        <v>160</v>
      </c>
      <c r="AH4" s="15" t="s">
        <v>161</v>
      </c>
      <c r="AI4" s="15" t="s">
        <v>123</v>
      </c>
      <c r="AJ4" s="15" t="s">
        <v>162</v>
      </c>
      <c r="AK4" s="15" t="s">
        <v>143</v>
      </c>
      <c r="AL4" s="15" t="s">
        <v>124</v>
      </c>
      <c r="AM4" s="15" t="s">
        <v>163</v>
      </c>
      <c r="AN4" s="15" t="s">
        <v>144</v>
      </c>
      <c r="AO4" s="15" t="s">
        <v>125</v>
      </c>
      <c r="AP4" s="15" t="s">
        <v>164</v>
      </c>
      <c r="AQ4" s="15" t="s">
        <v>145</v>
      </c>
      <c r="AR4" s="15" t="s">
        <v>157</v>
      </c>
      <c r="AS4" s="15" t="s">
        <v>165</v>
      </c>
      <c r="AT4" s="15" t="s">
        <v>166</v>
      </c>
      <c r="AU4" s="15" t="s">
        <v>126</v>
      </c>
      <c r="AV4" s="15" t="s">
        <v>167</v>
      </c>
      <c r="AW4" s="15" t="s">
        <v>146</v>
      </c>
      <c r="AX4" s="15" t="s">
        <v>127</v>
      </c>
      <c r="AY4" s="15" t="s">
        <v>168</v>
      </c>
      <c r="AZ4" s="15" t="s">
        <v>147</v>
      </c>
      <c r="BA4" s="29" t="s">
        <v>169</v>
      </c>
      <c r="BB4" s="15" t="s">
        <v>170</v>
      </c>
      <c r="BC4" s="15" t="s">
        <v>171</v>
      </c>
      <c r="BD4" s="26" t="s">
        <v>148</v>
      </c>
      <c r="BE4" s="23" t="s">
        <v>172</v>
      </c>
      <c r="BF4" s="18" t="s">
        <v>173</v>
      </c>
      <c r="BG4" s="29" t="s">
        <v>158</v>
      </c>
      <c r="BH4" s="18" t="s">
        <v>174</v>
      </c>
      <c r="BI4" s="32" t="s">
        <v>154</v>
      </c>
      <c r="BJ4" s="32" t="s">
        <v>155</v>
      </c>
      <c r="BK4" s="34" t="s">
        <v>153</v>
      </c>
      <c r="BL4" s="10"/>
    </row>
    <row r="5" spans="2:90" ht="20.100000000000001" customHeight="1" x14ac:dyDescent="0.25">
      <c r="B5" s="1">
        <v>5</v>
      </c>
      <c r="C5" s="50">
        <v>1</v>
      </c>
      <c r="D5" s="51" t="str">
        <f>IF(C5&lt;B5,"▲"&amp;B5-C5,IF(C5&gt;B5,"▼"&amp;C5-B5,"—"))</f>
        <v>▲4</v>
      </c>
      <c r="E5" s="52" t="s">
        <v>20</v>
      </c>
      <c r="F5" s="53">
        <f>G5+O5+W5+AE5+BF5+BH5+BK5</f>
        <v>1768.5945844703181</v>
      </c>
      <c r="G5" s="19">
        <f>IF(COUNTIF(H5:INDEX(H5:N5,$B$1),"&gt;0")=0,0,
SUMIF(H5:INDEX(H5:N5,$B$1),"&gt;0",H5:INDEX(H5:N5,$B$1))*$B$1/COUNTIF(H5:INDEX(H5:N5,$B$1),"&gt;0")*
IF($B$1-COUNTIF(H5:INDEX(H5:N5,$B$1),"&gt;0")&lt;=2,1,
IF($B$1-COUNTIF(H5:INDEX(H5:N5,$B$1),"&gt;0")=3,0.8,
IF($B$1-COUNTIF(H5:INDEX(H5:N5,$B$1),"&gt;0")=4,0.6,
IF($B$1-COUNTIF(H5:INDEX(H5:N5,$B$1),"&gt;0")=5,0.4,
IF($B$1-COUNTIF(H5:INDEX(H5:N5,$B$1),"&gt;0")=6,0.2,0))))))</f>
        <v>767</v>
      </c>
      <c r="H5" s="3">
        <v>76</v>
      </c>
      <c r="I5" s="3">
        <v>77</v>
      </c>
      <c r="J5" s="3">
        <v>80</v>
      </c>
      <c r="K5" s="3">
        <v>170</v>
      </c>
      <c r="L5" s="3">
        <v>123</v>
      </c>
      <c r="M5" s="3">
        <v>143</v>
      </c>
      <c r="N5" s="3">
        <v>98</v>
      </c>
      <c r="O5" s="13">
        <f>0.2*IF(COUNTIF(P5:INDEX(P5:V5,$B$1),"&gt;0")=0,0,
(SUMIF(P5:INDEX(P5:V5,$B$1),"&gt;0",P5:INDEX(P5:V5,$B$1))*$B$1/COUNTIF(P5:INDEX(P5:V5,$B$1),"&gt;0"))*
IF($B$1-COUNTIF(P5:INDEX(P5:V5,$B$1),"&gt;0")&lt;=2,1,
IF($B$1-COUNTIF(P5:INDEX(P5:V5,$B$1),"&gt;0")=3,0.8,
IF($B$1-COUNTIF(P5:INDEX(P5:V5,$B$1),"&gt;0")=4,0.6,
IF($B$1-COUNTIF(P5:INDEX(P5:V5,$B$1),"&gt;0")=5,0.4,
IF($B$1-COUNTIF(P5:INDEX(P5:V5,$B$1),"&gt;0")=6,0.2,0))))))</f>
        <v>70.8</v>
      </c>
      <c r="P5" s="3">
        <v>53</v>
      </c>
      <c r="Q5" s="3">
        <v>44</v>
      </c>
      <c r="R5" s="3">
        <v>55</v>
      </c>
      <c r="S5" s="3">
        <v>50</v>
      </c>
      <c r="T5" s="3">
        <v>50</v>
      </c>
      <c r="U5" s="3">
        <v>50</v>
      </c>
      <c r="V5" s="3">
        <v>52</v>
      </c>
      <c r="W5" s="3">
        <f>MIN(100,
IF($B$1&gt;=1,IFERROR(VALUE(SUBSTITUTE(SUBSTITUTE(TRIM(X5),"A",""),"B","")),0),0)+
IF($B$1&gt;=2,IFERROR(VALUE(SUBSTITUTE(SUBSTITUTE(TRIM(Y5),"A",""),"B","")),0),0)+
IF($B$1&gt;=3,IFERROR(VALUE(SUBSTITUTE(SUBSTITUTE(TRIM(Z5),"A",""),"B","")),0),0)+
IF($B$1&gt;=4,IFERROR(VALUE(SUBSTITUTE(SUBSTITUTE(TRIM(AA5),"A",""),"B","")),0),0)+
IF($B$1&gt;=5,IFERROR(VALUE(SUBSTITUTE(SUBSTITUTE(TRIM(AB5),"A",""),"B","")),0),0)+
IF($B$1&gt;=6,IFERROR(VALUE(SUBSTITUTE(SUBSTITUTE(TRIM(AC5),"A",""),"B","")),0),0)+
IF($B$1&gt;=7,IFERROR(VALUE(SUBSTITUTE(SUBSTITUTE(TRIM(AD5),"A",""),"B","")),0),0)
)</f>
        <v>100</v>
      </c>
      <c r="X5" s="3" t="s">
        <v>16</v>
      </c>
      <c r="Y5" s="3" t="s">
        <v>14</v>
      </c>
      <c r="Z5" s="3" t="s">
        <v>16</v>
      </c>
      <c r="AA5" s="3" t="s">
        <v>120</v>
      </c>
      <c r="AB5" s="3" t="s">
        <v>120</v>
      </c>
      <c r="AC5" s="3" t="s">
        <v>156</v>
      </c>
      <c r="AD5" s="3" t="s">
        <v>180</v>
      </c>
      <c r="AE5" s="13">
        <f>AH5+AK5+AN5+AQ5+AT5+AW5+AZ5+BC5</f>
        <v>431.04195326268189</v>
      </c>
      <c r="AF5" s="13">
        <v>3.7</v>
      </c>
      <c r="AG5" s="13">
        <f>SQRT(AF5)</f>
        <v>1.9235384061671346</v>
      </c>
      <c r="AH5" s="13">
        <f>IF(AG5&gt;0,AG5/AG$99*1000, 0)</f>
        <v>51.507384704753342</v>
      </c>
      <c r="AI5" s="13">
        <v>2.9</v>
      </c>
      <c r="AJ5" s="13">
        <f>SQRT(AI5)</f>
        <v>1.70293863659264</v>
      </c>
      <c r="AK5" s="13">
        <f>IF(AJ5&gt;0,AJ5/AJ$99*1000, 0)</f>
        <v>50.371275997243877</v>
      </c>
      <c r="AL5" s="13">
        <v>2.6</v>
      </c>
      <c r="AM5" s="13">
        <f>SQRT(AL5)</f>
        <v>1.61245154965971</v>
      </c>
      <c r="AN5" s="13">
        <f>IF(AM5&gt;0,AM5/AM$99*1000, 0)</f>
        <v>65.278698936402222</v>
      </c>
      <c r="AO5" s="13">
        <v>1.1000000000000001</v>
      </c>
      <c r="AP5" s="13">
        <f>SQRT(AO5)</f>
        <v>1.0488088481701516</v>
      </c>
      <c r="AQ5" s="13">
        <f>IF(AP5&gt;0,AP5/AP$99*1000, 0)</f>
        <v>71.21498399065112</v>
      </c>
      <c r="AR5" s="13">
        <v>1.5</v>
      </c>
      <c r="AS5" s="13">
        <f>SQRT(AR5)</f>
        <v>1.2247448713915889</v>
      </c>
      <c r="AT5" s="13">
        <f>IF(AS5&gt;0,AS5/AS$99*1000, 0)</f>
        <v>69.361238272323178</v>
      </c>
      <c r="AU5" s="13">
        <v>0.4</v>
      </c>
      <c r="AV5" s="13">
        <f>SQRT(AU5)</f>
        <v>0.63245553203367588</v>
      </c>
      <c r="AW5" s="13">
        <f>IF(AV5&gt;0,AV5/AV$99*1000, 0)</f>
        <v>28.202710704444456</v>
      </c>
      <c r="AX5" s="13">
        <v>1.4</v>
      </c>
      <c r="AY5" s="13">
        <f>SQRT(AX5)</f>
        <v>1.1832159566199232</v>
      </c>
      <c r="AZ5" s="13">
        <f>IF(AY5&gt;0,AY5/AY$99*1000, 0)</f>
        <v>57.166903294107996</v>
      </c>
      <c r="BA5" s="27">
        <v>268</v>
      </c>
      <c r="BB5" s="13">
        <f>SQRT(BA5)</f>
        <v>16.370705543744901</v>
      </c>
      <c r="BC5" s="13">
        <f>IF(BB5&gt;0,BB5/BB$99*1000, 0)</f>
        <v>37.938757362755709</v>
      </c>
      <c r="BD5" s="24">
        <v>1.7</v>
      </c>
      <c r="BE5" s="21">
        <f>SQRT(BD5)</f>
        <v>1.3038404810405297</v>
      </c>
      <c r="BF5" s="13">
        <f>IF(BE5&gt;0, BE5/BE$99*10000, 0)</f>
        <v>335.77488433698267</v>
      </c>
      <c r="BG5" s="27">
        <v>23</v>
      </c>
      <c r="BH5" s="13">
        <f>IF(BG5&gt;0, BG5/BG$99*2000, 0)</f>
        <v>63.977746870653689</v>
      </c>
      <c r="BI5" s="30">
        <v>0</v>
      </c>
      <c r="BJ5" s="30">
        <v>0</v>
      </c>
      <c r="BK5" s="30">
        <f>BJ5+BI5</f>
        <v>0</v>
      </c>
      <c r="BL5" s="3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</row>
    <row r="6" spans="2:90" ht="20.100000000000001" customHeight="1" x14ac:dyDescent="0.25">
      <c r="B6" s="1">
        <v>1</v>
      </c>
      <c r="C6" s="50">
        <v>2</v>
      </c>
      <c r="D6" s="51" t="str">
        <f>IF(C6&lt;B6,"▲"&amp;B6-C6,IF(C6&gt;B6,"▼"&amp;C6-B6,"—"))</f>
        <v>▼1</v>
      </c>
      <c r="E6" s="52" t="s">
        <v>21</v>
      </c>
      <c r="F6" s="53">
        <f>G6+O6+W6+AE6+BF6+BH6+BK6</f>
        <v>1731.0238184793977</v>
      </c>
      <c r="G6" s="19">
        <f>IF(COUNTIF(H6:INDEX(H6:N6,$B$1),"&gt;0")=0,0,
SUMIF(H6:INDEX(H6:N6,$B$1),"&gt;0",H6:INDEX(H6:N6,$B$1))*$B$1/COUNTIF(H6:INDEX(H6:N6,$B$1),"&gt;0")*
IF($B$1-COUNTIF(H6:INDEX(H6:N6,$B$1),"&gt;0")&lt;=2,1,
IF($B$1-COUNTIF(H6:INDEX(H6:N6,$B$1),"&gt;0")=3,0.8,
IF($B$1-COUNTIF(H6:INDEX(H6:N6,$B$1),"&gt;0")=4,0.6,
IF($B$1-COUNTIF(H6:INDEX(H6:N6,$B$1),"&gt;0")=5,0.4,
IF($B$1-COUNTIF(H6:INDEX(H6:N6,$B$1),"&gt;0")=6,0.2,0))))))</f>
        <v>641</v>
      </c>
      <c r="H6" s="3">
        <v>70</v>
      </c>
      <c r="I6" s="3">
        <v>69</v>
      </c>
      <c r="J6" s="3">
        <v>86</v>
      </c>
      <c r="K6" s="3">
        <v>143</v>
      </c>
      <c r="L6" s="3">
        <v>145</v>
      </c>
      <c r="M6" s="3">
        <v>85</v>
      </c>
      <c r="N6" s="3">
        <v>43</v>
      </c>
      <c r="O6" s="13">
        <f>0.2*IF(COUNTIF(P6:INDEX(P6:V6,$B$1),"&gt;0")=0,0,
(SUMIF(P6:INDEX(P6:V6,$B$1),"&gt;0",P6:INDEX(P6:V6,$B$1))*$B$1/COUNTIF(P6:INDEX(P6:V6,$B$1),"&gt;0"))*
IF($B$1-COUNTIF(P6:INDEX(P6:V6,$B$1),"&gt;0")&lt;=2,1,
IF($B$1-COUNTIF(P6:INDEX(P6:V6,$B$1),"&gt;0")=3,0.8,
IF($B$1-COUNTIF(P6:INDEX(P6:V6,$B$1),"&gt;0")=4,0.6,
IF($B$1-COUNTIF(P6:INDEX(P6:V6,$B$1),"&gt;0")=5,0.4,
IF($B$1-COUNTIF(P6:INDEX(P6:V6,$B$1),"&gt;0")=6,0.2,0))))))</f>
        <v>77</v>
      </c>
      <c r="P6" s="3">
        <v>56</v>
      </c>
      <c r="Q6" s="3">
        <v>50</v>
      </c>
      <c r="R6" s="3">
        <v>53</v>
      </c>
      <c r="S6" s="3">
        <v>57</v>
      </c>
      <c r="T6" s="3">
        <v>55</v>
      </c>
      <c r="U6" s="3">
        <v>57</v>
      </c>
      <c r="V6" s="3">
        <v>57</v>
      </c>
      <c r="W6" s="3">
        <f>MIN(100,
IF($B$1&gt;=1,IFERROR(VALUE(SUBSTITUTE(SUBSTITUTE(TRIM(X6),"A",""),"B","")),0),0)+
IF($B$1&gt;=2,IFERROR(VALUE(SUBSTITUTE(SUBSTITUTE(TRIM(Y6),"A",""),"B","")),0),0)+
IF($B$1&gt;=3,IFERROR(VALUE(SUBSTITUTE(SUBSTITUTE(TRIM(Z6),"A",""),"B","")),0),0)+
IF($B$1&gt;=4,IFERROR(VALUE(SUBSTITUTE(SUBSTITUTE(TRIM(AA6),"A",""),"B","")),0),0)+
IF($B$1&gt;=5,IFERROR(VALUE(SUBSTITUTE(SUBSTITUTE(TRIM(AB6),"A",""),"B","")),0),0)+
IF($B$1&gt;=6,IFERROR(VALUE(SUBSTITUTE(SUBSTITUTE(TRIM(AC6),"A",""),"B","")),0),0)+
IF($B$1&gt;=7,IFERROR(VALUE(SUBSTITUTE(SUBSTITUTE(TRIM(AD6),"A",""),"B","")),0),0)
)</f>
        <v>100</v>
      </c>
      <c r="X6" s="3" t="s">
        <v>14</v>
      </c>
      <c r="Y6" s="3" t="s">
        <v>14</v>
      </c>
      <c r="Z6" s="3" t="s">
        <v>14</v>
      </c>
      <c r="AA6" s="3" t="s">
        <v>118</v>
      </c>
      <c r="AB6" s="3" t="s">
        <v>118</v>
      </c>
      <c r="AC6" s="3" t="s">
        <v>156</v>
      </c>
      <c r="AD6" s="3" t="s">
        <v>180</v>
      </c>
      <c r="AE6" s="13">
        <f>AH6+AK6+AN6+AQ6+AT6+AW6+AZ6+BC6</f>
        <v>536.18841015289831</v>
      </c>
      <c r="AF6" s="13">
        <v>11.1</v>
      </c>
      <c r="AG6" s="13">
        <f>SQRT(AF6)</f>
        <v>3.3316662497915361</v>
      </c>
      <c r="AH6" s="13">
        <f>IF(AG6&gt;0,AG6/AG$99*1000, 0)</f>
        <v>89.21340727362886</v>
      </c>
      <c r="AI6" s="13">
        <v>2.7</v>
      </c>
      <c r="AJ6" s="13">
        <f>SQRT(AI6)</f>
        <v>1.6431676725154984</v>
      </c>
      <c r="AK6" s="13">
        <f>IF(AJ6&gt;0,AJ6/AJ$99*1000, 0)</f>
        <v>48.603308753177387</v>
      </c>
      <c r="AL6" s="13">
        <v>6.3</v>
      </c>
      <c r="AM6" s="13">
        <f>SQRT(AL6)</f>
        <v>2.5099800796022267</v>
      </c>
      <c r="AN6" s="13">
        <f>IF(AM6&gt;0,AM6/AM$99*1000, 0)</f>
        <v>101.61436105618117</v>
      </c>
      <c r="AO6" s="13">
        <v>0.9</v>
      </c>
      <c r="AP6" s="13">
        <f>SQRT(AO6)</f>
        <v>0.94868329805051377</v>
      </c>
      <c r="AQ6" s="13">
        <f>IF(AP6&gt;0,AP6/AP$99*1000, 0)</f>
        <v>64.416376731315381</v>
      </c>
      <c r="AR6" s="13">
        <v>0.9</v>
      </c>
      <c r="AS6" s="13">
        <f>SQRT(AR6)</f>
        <v>0.94868329805051377</v>
      </c>
      <c r="AT6" s="13">
        <f>IF(AS6&gt;0,AS6/AS$99*1000, 0)</f>
        <v>53.726984140206447</v>
      </c>
      <c r="AU6" s="13">
        <v>1.3</v>
      </c>
      <c r="AV6" s="13">
        <f>SQRT(AU6)</f>
        <v>1.1401754250991381</v>
      </c>
      <c r="AW6" s="13">
        <f>IF(AV6&gt;0,AV6/AV$99*1000, 0)</f>
        <v>50.843159775975813</v>
      </c>
      <c r="AX6" s="13">
        <v>2.2999999999999998</v>
      </c>
      <c r="AY6" s="13">
        <f>SQRT(AX6)</f>
        <v>1.51657508881031</v>
      </c>
      <c r="AZ6" s="13">
        <f>IF(AY6&gt;0,AY6/AY$99*1000, 0)</f>
        <v>73.273100278279671</v>
      </c>
      <c r="BA6" s="27">
        <v>553</v>
      </c>
      <c r="BB6" s="13">
        <f>SQRT(BA6)</f>
        <v>23.515952032609693</v>
      </c>
      <c r="BC6" s="13">
        <f>IF(BB6&gt;0,BB6/BB$99*1000, 0)</f>
        <v>54.497712144133565</v>
      </c>
      <c r="BD6" s="24">
        <v>1.61</v>
      </c>
      <c r="BE6" s="21">
        <f>SQRT(BD6)</f>
        <v>1.2688577540449522</v>
      </c>
      <c r="BF6" s="13">
        <f>IF(BE6&gt;0, BE6/BE$99*10000, 0)</f>
        <v>326.76586729729223</v>
      </c>
      <c r="BG6" s="27">
        <v>18</v>
      </c>
      <c r="BH6" s="13">
        <f>IF(BG6&gt;0, BG6/BG$99*2000, 0)</f>
        <v>50.06954102920723</v>
      </c>
      <c r="BI6" s="30">
        <v>0</v>
      </c>
      <c r="BJ6" s="30">
        <v>0</v>
      </c>
      <c r="BK6" s="30">
        <f>BJ6+BI6</f>
        <v>0</v>
      </c>
      <c r="BL6" s="3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</row>
    <row r="7" spans="2:90" ht="20.100000000000001" customHeight="1" x14ac:dyDescent="0.25">
      <c r="B7" s="1">
        <v>2</v>
      </c>
      <c r="C7" s="50">
        <v>3</v>
      </c>
      <c r="D7" s="51" t="str">
        <f>IF(C7&lt;B7,"▲"&amp;B7-C7,IF(C7&gt;B7,"▼"&amp;C7-B7,"—"))</f>
        <v>▼1</v>
      </c>
      <c r="E7" s="52" t="s">
        <v>34</v>
      </c>
      <c r="F7" s="53">
        <f>G7+O7+W7+AE7+BF7+BH7+BK7</f>
        <v>1720.5575131329726</v>
      </c>
      <c r="G7" s="19">
        <f>IF(COUNTIF(H7:INDEX(H7:N7,$B$1),"&gt;0")=0,0,
SUMIF(H7:INDEX(H7:N7,$B$1),"&gt;0",H7:INDEX(H7:N7,$B$1))*$B$1/COUNTIF(H7:INDEX(H7:N7,$B$1),"&gt;0")*
IF($B$1-COUNTIF(H7:INDEX(H7:N7,$B$1),"&gt;0")&lt;=2,1,
IF($B$1-COUNTIF(H7:INDEX(H7:N7,$B$1),"&gt;0")=3,0.8,
IF($B$1-COUNTIF(H7:INDEX(H7:N7,$B$1),"&gt;0")=4,0.6,
IF($B$1-COUNTIF(H7:INDEX(H7:N7,$B$1),"&gt;0")=5,0.4,
IF($B$1-COUNTIF(H7:INDEX(H7:N7,$B$1),"&gt;0")=6,0.2,0))))))</f>
        <v>648</v>
      </c>
      <c r="H7" s="3">
        <v>48</v>
      </c>
      <c r="I7" s="3">
        <v>60</v>
      </c>
      <c r="J7" s="3">
        <v>70</v>
      </c>
      <c r="K7" s="3">
        <v>243</v>
      </c>
      <c r="L7" s="3">
        <v>88</v>
      </c>
      <c r="M7" s="3">
        <v>65</v>
      </c>
      <c r="N7" s="3">
        <v>74</v>
      </c>
      <c r="O7" s="13">
        <f>0.2*IF(COUNTIF(P7:INDEX(P7:V7,$B$1),"&gt;0")=0,0,
(SUMIF(P7:INDEX(P7:V7,$B$1),"&gt;0",P7:INDEX(P7:V7,$B$1))*$B$1/COUNTIF(P7:INDEX(P7:V7,$B$1),"&gt;0"))*
IF($B$1-COUNTIF(P7:INDEX(P7:V7,$B$1),"&gt;0")&lt;=2,1,
IF($B$1-COUNTIF(P7:INDEX(P7:V7,$B$1),"&gt;0")=3,0.8,
IF($B$1-COUNTIF(P7:INDEX(P7:V7,$B$1),"&gt;0")=4,0.6,
IF($B$1-COUNTIF(P7:INDEX(P7:V7,$B$1),"&gt;0")=5,0.4,
IF($B$1-COUNTIF(P7:INDEX(P7:V7,$B$1),"&gt;0")=6,0.2,0))))))</f>
        <v>74.600000000000009</v>
      </c>
      <c r="P7" s="3">
        <v>56</v>
      </c>
      <c r="Q7" s="3">
        <v>48</v>
      </c>
      <c r="R7" s="3">
        <v>55</v>
      </c>
      <c r="S7" s="3">
        <v>51</v>
      </c>
      <c r="T7" s="3">
        <v>54</v>
      </c>
      <c r="U7" s="3">
        <v>51</v>
      </c>
      <c r="V7" s="3">
        <v>58</v>
      </c>
      <c r="W7" s="3">
        <f>MIN(100,
IF($B$1&gt;=1,IFERROR(VALUE(SUBSTITUTE(SUBSTITUTE(TRIM(X7),"A",""),"B","")),0),0)+
IF($B$1&gt;=2,IFERROR(VALUE(SUBSTITUTE(SUBSTITUTE(TRIM(Y7),"A",""),"B","")),0),0)+
IF($B$1&gt;=3,IFERROR(VALUE(SUBSTITUTE(SUBSTITUTE(TRIM(Z7),"A",""),"B","")),0),0)+
IF($B$1&gt;=4,IFERROR(VALUE(SUBSTITUTE(SUBSTITUTE(TRIM(AA7),"A",""),"B","")),0),0)+
IF($B$1&gt;=5,IFERROR(VALUE(SUBSTITUTE(SUBSTITUTE(TRIM(AB7),"A",""),"B","")),0),0)+
IF($B$1&gt;=6,IFERROR(VALUE(SUBSTITUTE(SUBSTITUTE(TRIM(AC7),"A",""),"B","")),0),0)+
IF($B$1&gt;=7,IFERROR(VALUE(SUBSTITUTE(SUBSTITUTE(TRIM(AD7),"A",""),"B","")),0),0)
)</f>
        <v>100</v>
      </c>
      <c r="X7" s="3" t="s">
        <v>14</v>
      </c>
      <c r="Y7" s="3" t="s">
        <v>14</v>
      </c>
      <c r="Z7" s="3" t="s">
        <v>14</v>
      </c>
      <c r="AA7" s="3" t="s">
        <v>118</v>
      </c>
      <c r="AB7" s="3" t="s">
        <v>120</v>
      </c>
      <c r="AC7" s="3" t="s">
        <v>156</v>
      </c>
      <c r="AD7" s="3" t="s">
        <v>180</v>
      </c>
      <c r="AE7" s="13">
        <f>AH7+AK7+AN7+AQ7+AT7+AW7+AZ7+BC7</f>
        <v>479.25805485079172</v>
      </c>
      <c r="AF7" s="13">
        <v>5.9</v>
      </c>
      <c r="AG7" s="13">
        <f>SQRT(AF7)</f>
        <v>2.4289915602982237</v>
      </c>
      <c r="AH7" s="13">
        <f>IF(AG7&gt;0,AG7/AG$99*1000, 0)</f>
        <v>65.042113190855048</v>
      </c>
      <c r="AI7" s="13">
        <v>3.6</v>
      </c>
      <c r="AJ7" s="13">
        <f>SQRT(AI7)</f>
        <v>1.8973665961010275</v>
      </c>
      <c r="AK7" s="13">
        <f>IF(AJ7&gt;0,AJ7/AJ$99*1000, 0)</f>
        <v>56.122266784306909</v>
      </c>
      <c r="AL7" s="13">
        <v>2</v>
      </c>
      <c r="AM7" s="13">
        <f>SQRT(AL7)</f>
        <v>1.4142135623730951</v>
      </c>
      <c r="AN7" s="13">
        <f>IF(AM7&gt;0,AM7/AM$99*1000, 0)</f>
        <v>57.2532063921008</v>
      </c>
      <c r="AO7" s="13">
        <v>2.2000000000000002</v>
      </c>
      <c r="AP7" s="13">
        <f>SQRT(AO7)</f>
        <v>1.4832396974191326</v>
      </c>
      <c r="AQ7" s="13">
        <f>IF(AP7&gt;0,AP7/AP$99*1000, 0)</f>
        <v>100.71319620376165</v>
      </c>
      <c r="AR7" s="13">
        <v>1.4</v>
      </c>
      <c r="AS7" s="13">
        <f>SQRT(AR7)</f>
        <v>1.1832159566199232</v>
      </c>
      <c r="AT7" s="13">
        <f>IF(AS7&gt;0,AS7/AS$99*1000, 0)</f>
        <v>67.009322359096629</v>
      </c>
      <c r="AU7" s="13">
        <v>0.7</v>
      </c>
      <c r="AV7" s="13">
        <f>SQRT(AU7)</f>
        <v>0.83666002653407556</v>
      </c>
      <c r="AW7" s="13">
        <f>IF(AV7&gt;0,AV7/AV$99*1000, 0)</f>
        <v>37.308679410929642</v>
      </c>
      <c r="AX7" s="13">
        <v>0.9</v>
      </c>
      <c r="AY7" s="13">
        <f>SQRT(AX7)</f>
        <v>0.94868329805051377</v>
      </c>
      <c r="AZ7" s="13">
        <f>IF(AY7&gt;0,AY7/AY$99*1000, 0)</f>
        <v>45.835492712012304</v>
      </c>
      <c r="BA7" s="27">
        <v>465</v>
      </c>
      <c r="BB7" s="13">
        <f>SQRT(BA7)</f>
        <v>21.563858652847824</v>
      </c>
      <c r="BC7" s="13">
        <f>IF(BB7&gt;0,BB7/BB$99*1000, 0)</f>
        <v>49.973777797728744</v>
      </c>
      <c r="BD7" s="24">
        <v>2.08</v>
      </c>
      <c r="BE7" s="21">
        <f>SQRT(BD7)</f>
        <v>1.4422205101855958</v>
      </c>
      <c r="BF7" s="13">
        <f>IF(BE7&gt;0, BE7/BE$99*10000, 0)</f>
        <v>371.41155842126318</v>
      </c>
      <c r="BG7" s="27">
        <v>17</v>
      </c>
      <c r="BH7" s="13">
        <f>IF(BG7&gt;0, BG7/BG$99*2000, 0)</f>
        <v>47.287899860917939</v>
      </c>
      <c r="BI7" s="30">
        <v>0</v>
      </c>
      <c r="BJ7" s="30">
        <v>0</v>
      </c>
      <c r="BK7" s="30">
        <f>BJ7+BI7</f>
        <v>0</v>
      </c>
      <c r="BL7" s="3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</row>
    <row r="8" spans="2:90" ht="20.100000000000001" customHeight="1" x14ac:dyDescent="0.25">
      <c r="B8" s="1">
        <v>4</v>
      </c>
      <c r="C8" s="50">
        <v>4</v>
      </c>
      <c r="D8" s="51" t="str">
        <f>IF(C8&lt;B8,"▲"&amp;B8-C8,IF(C8&gt;B8,"▼"&amp;C8-B8,"—"))</f>
        <v>—</v>
      </c>
      <c r="E8" s="52" t="s">
        <v>23</v>
      </c>
      <c r="F8" s="53">
        <f>G8+O8+W8+AE8+BF8+BH8+BK8</f>
        <v>1707.6605078334655</v>
      </c>
      <c r="G8" s="19">
        <f>IF(COUNTIF(H8:INDEX(H8:N8,$B$1),"&gt;0")=0,0,
SUMIF(H8:INDEX(H8:N8,$B$1),"&gt;0",H8:INDEX(H8:N8,$B$1))*$B$1/COUNTIF(H8:INDEX(H8:N8,$B$1),"&gt;0")*
IF($B$1-COUNTIF(H8:INDEX(H8:N8,$B$1),"&gt;0")&lt;=2,1,
IF($B$1-COUNTIF(H8:INDEX(H8:N8,$B$1),"&gt;0")=3,0.8,
IF($B$1-COUNTIF(H8:INDEX(H8:N8,$B$1),"&gt;0")=4,0.6,
IF($B$1-COUNTIF(H8:INDEX(H8:N8,$B$1),"&gt;0")=5,0.4,
IF($B$1-COUNTIF(H8:INDEX(H8:N8,$B$1),"&gt;0")=6,0.2,0))))))</f>
        <v>726</v>
      </c>
      <c r="H8" s="3">
        <v>72</v>
      </c>
      <c r="I8" s="3">
        <v>63</v>
      </c>
      <c r="J8" s="3">
        <v>87</v>
      </c>
      <c r="K8" s="3">
        <v>160</v>
      </c>
      <c r="L8" s="3">
        <v>72</v>
      </c>
      <c r="M8" s="3">
        <v>188</v>
      </c>
      <c r="N8" s="3">
        <v>84</v>
      </c>
      <c r="O8" s="13">
        <f>0.2*IF(COUNTIF(P8:INDEX(P8:V8,$B$1),"&gt;0")=0,0,
(SUMIF(P8:INDEX(P8:V8,$B$1),"&gt;0",P8:INDEX(P8:V8,$B$1))*$B$1/COUNTIF(P8:INDEX(P8:V8,$B$1),"&gt;0"))*
IF($B$1-COUNTIF(P8:INDEX(P8:V8,$B$1),"&gt;0")&lt;=2,1,
IF($B$1-COUNTIF(P8:INDEX(P8:V8,$B$1),"&gt;0")=3,0.8,
IF($B$1-COUNTIF(P8:INDEX(P8:V8,$B$1),"&gt;0")=4,0.6,
IF($B$1-COUNTIF(P8:INDEX(P8:V8,$B$1),"&gt;0")=5,0.4,
IF($B$1-COUNTIF(P8:INDEX(P8:V8,$B$1),"&gt;0")=6,0.2,0))))))</f>
        <v>72.600000000000009</v>
      </c>
      <c r="P8" s="3">
        <v>56</v>
      </c>
      <c r="Q8" s="3">
        <v>45</v>
      </c>
      <c r="R8" s="3">
        <v>52</v>
      </c>
      <c r="S8" s="3">
        <v>57</v>
      </c>
      <c r="T8" s="3">
        <v>50</v>
      </c>
      <c r="U8" s="3">
        <v>50</v>
      </c>
      <c r="V8" s="3">
        <v>53</v>
      </c>
      <c r="W8" s="3">
        <f>MIN(100,
IF($B$1&gt;=1,IFERROR(VALUE(SUBSTITUTE(SUBSTITUTE(TRIM(X8),"A",""),"B","")),0),0)+
IF($B$1&gt;=2,IFERROR(VALUE(SUBSTITUTE(SUBSTITUTE(TRIM(Y8),"A",""),"B","")),0),0)+
IF($B$1&gt;=3,IFERROR(VALUE(SUBSTITUTE(SUBSTITUTE(TRIM(Z8),"A",""),"B","")),0),0)+
IF($B$1&gt;=4,IFERROR(VALUE(SUBSTITUTE(SUBSTITUTE(TRIM(AA8),"A",""),"B","")),0),0)+
IF($B$1&gt;=5,IFERROR(VALUE(SUBSTITUTE(SUBSTITUTE(TRIM(AB8),"A",""),"B","")),0),0)+
IF($B$1&gt;=6,IFERROR(VALUE(SUBSTITUTE(SUBSTITUTE(TRIM(AC8),"A",""),"B","")),0),0)+
IF($B$1&gt;=7,IFERROR(VALUE(SUBSTITUTE(SUBSTITUTE(TRIM(AD8),"A",""),"B","")),0),0)
)</f>
        <v>100</v>
      </c>
      <c r="X8" s="3" t="s">
        <v>14</v>
      </c>
      <c r="Y8" s="3" t="s">
        <v>14</v>
      </c>
      <c r="Z8" s="3" t="s">
        <v>14</v>
      </c>
      <c r="AA8" s="3" t="s">
        <v>118</v>
      </c>
      <c r="AB8" s="3" t="s">
        <v>118</v>
      </c>
      <c r="AC8" s="3" t="s">
        <v>156</v>
      </c>
      <c r="AD8" s="3" t="s">
        <v>180</v>
      </c>
      <c r="AE8" s="13">
        <f>AH8+AK8+AN8+AQ8+AT8+AW8+AZ8+BC8</f>
        <v>472.08737448344306</v>
      </c>
      <c r="AF8" s="13">
        <v>5</v>
      </c>
      <c r="AG8" s="13">
        <f>SQRT(AF8)</f>
        <v>2.2360679774997898</v>
      </c>
      <c r="AH8" s="13">
        <f>IF(AG8&gt;0,AG8/AG$99*1000, 0)</f>
        <v>59.876118497970893</v>
      </c>
      <c r="AI8" s="13">
        <v>2.6</v>
      </c>
      <c r="AJ8" s="13">
        <f>SQRT(AI8)</f>
        <v>1.61245154965971</v>
      </c>
      <c r="AK8" s="13">
        <f>IF(AJ8&gt;0,AJ8/AJ$99*1000, 0)</f>
        <v>47.694755580040187</v>
      </c>
      <c r="AL8" s="13">
        <v>2</v>
      </c>
      <c r="AM8" s="13">
        <f>SQRT(AL8)</f>
        <v>1.4142135623730951</v>
      </c>
      <c r="AN8" s="13">
        <f>IF(AM8&gt;0,AM8/AM$99*1000, 0)</f>
        <v>57.2532063921008</v>
      </c>
      <c r="AO8" s="13">
        <v>2.9</v>
      </c>
      <c r="AP8" s="13">
        <f>SQRT(AO8)</f>
        <v>1.70293863659264</v>
      </c>
      <c r="AQ8" s="13">
        <f>IF(AP8&gt;0,AP8/AP$99*1000, 0)</f>
        <v>115.63093499219919</v>
      </c>
      <c r="AR8" s="13">
        <v>1.2</v>
      </c>
      <c r="AS8" s="13">
        <f>SQRT(AR8)</f>
        <v>1.0954451150103321</v>
      </c>
      <c r="AT8" s="13">
        <f>IF(AS8&gt;0,AS8/AS$99*1000, 0)</f>
        <v>62.038577512189889</v>
      </c>
      <c r="AU8" s="13">
        <v>1.2</v>
      </c>
      <c r="AV8" s="13">
        <f>SQRT(AU8)</f>
        <v>1.0954451150103321</v>
      </c>
      <c r="AW8" s="13">
        <f>IF(AV8&gt;0,AV8/AV$99*1000, 0)</f>
        <v>48.848527851264436</v>
      </c>
      <c r="AX8" s="13">
        <v>0.4</v>
      </c>
      <c r="AY8" s="13">
        <f>SQRT(AX8)</f>
        <v>0.63245553203367588</v>
      </c>
      <c r="AZ8" s="13">
        <f>IF(AY8&gt;0,AY8/AY$99*1000, 0)</f>
        <v>30.556995141341535</v>
      </c>
      <c r="BA8" s="27">
        <v>469</v>
      </c>
      <c r="BB8" s="13">
        <f>SQRT(BA8)</f>
        <v>21.656407827707714</v>
      </c>
      <c r="BC8" s="13">
        <f>IF(BB8&gt;0,BB8/BB$99*1000, 0)</f>
        <v>50.188258516336148</v>
      </c>
      <c r="BD8" s="24">
        <v>1.17</v>
      </c>
      <c r="BE8" s="21">
        <f>SQRT(BD8)</f>
        <v>1.0816653826391966</v>
      </c>
      <c r="BF8" s="13">
        <f>IF(BE8&gt;0, BE8/BE$99*10000, 0)</f>
        <v>278.55866881594733</v>
      </c>
      <c r="BG8" s="27">
        <v>21</v>
      </c>
      <c r="BH8" s="13">
        <f>IF(BG8&gt;0, BG8/BG$99*2000, 0)</f>
        <v>58.414464534075101</v>
      </c>
      <c r="BI8" s="30">
        <v>0</v>
      </c>
      <c r="BJ8" s="30">
        <v>0</v>
      </c>
      <c r="BK8" s="30">
        <f>BJ8+BI8</f>
        <v>0</v>
      </c>
      <c r="BL8" s="3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</row>
    <row r="9" spans="2:90" ht="20.100000000000001" customHeight="1" x14ac:dyDescent="0.25">
      <c r="B9" s="1">
        <v>3</v>
      </c>
      <c r="C9" s="50">
        <v>5</v>
      </c>
      <c r="D9" s="51" t="str">
        <f>IF(C9&lt;B9,"▲"&amp;B9-C9,IF(C9&gt;B9,"▼"&amp;C9-B9,"—"))</f>
        <v>▼2</v>
      </c>
      <c r="E9" s="52" t="s">
        <v>175</v>
      </c>
      <c r="F9" s="53">
        <f>G9+O9+W9+AE9+BF9+BH9+BK9</f>
        <v>1671.7012916134145</v>
      </c>
      <c r="G9" s="19">
        <f>IF(COUNTIF(H9:INDEX(H9:N9,$B$1),"&gt;0")=0,0,
SUMIF(H9:INDEX(H9:N9,$B$1),"&gt;0",H9:INDEX(H9:N9,$B$1))*$B$1/COUNTIF(H9:INDEX(H9:N9,$B$1),"&gt;0")*
IF($B$1-COUNTIF(H9:INDEX(H9:N9,$B$1),"&gt;0")&lt;=2,1,
IF($B$1-COUNTIF(H9:INDEX(H9:N9,$B$1),"&gt;0")=3,0.8,
IF($B$1-COUNTIF(H9:INDEX(H9:N9,$B$1),"&gt;0")=4,0.6,
IF($B$1-COUNTIF(H9:INDEX(H9:N9,$B$1),"&gt;0")=5,0.4,
IF($B$1-COUNTIF(H9:INDEX(H9:N9,$B$1),"&gt;0")=6,0.2,0))))))</f>
        <v>796.6</v>
      </c>
      <c r="H9" s="3">
        <v>68</v>
      </c>
      <c r="I9" s="3">
        <v>58</v>
      </c>
      <c r="J9" s="3">
        <v>98</v>
      </c>
      <c r="K9" s="3">
        <v>-1</v>
      </c>
      <c r="L9" s="3">
        <v>79</v>
      </c>
      <c r="M9" s="3">
        <v>266</v>
      </c>
      <c r="N9" s="3">
        <v>-1</v>
      </c>
      <c r="O9" s="13">
        <f>0.2*IF(COUNTIF(P9:INDEX(P9:V9,$B$1),"&gt;0")=0,0,
(SUMIF(P9:INDEX(P9:V9,$B$1),"&gt;0",P9:INDEX(P9:V9,$B$1))*$B$1/COUNTIF(P9:INDEX(P9:V9,$B$1),"&gt;0"))*
IF($B$1-COUNTIF(P9:INDEX(P9:V9,$B$1),"&gt;0")&lt;=2,1,
IF($B$1-COUNTIF(P9:INDEX(P9:V9,$B$1),"&gt;0")=3,0.8,
IF($B$1-COUNTIF(P9:INDEX(P9:V9,$B$1),"&gt;0")=4,0.6,
IF($B$1-COUNTIF(P9:INDEX(P9:V9,$B$1),"&gt;0")=5,0.4,
IF($B$1-COUNTIF(P9:INDEX(P9:V9,$B$1),"&gt;0")=6,0.2,0))))))</f>
        <v>64.400000000000006</v>
      </c>
      <c r="P9" s="3">
        <v>61</v>
      </c>
      <c r="Q9" s="3">
        <v>52</v>
      </c>
      <c r="R9" s="3">
        <v>-1</v>
      </c>
      <c r="S9" s="3">
        <v>-1</v>
      </c>
      <c r="T9" s="3">
        <v>60</v>
      </c>
      <c r="U9" s="3">
        <v>57</v>
      </c>
      <c r="V9" s="3">
        <v>-1</v>
      </c>
      <c r="W9" s="3">
        <f>MIN(100,
IF($B$1&gt;=1,IFERROR(VALUE(SUBSTITUTE(SUBSTITUTE(TRIM(X9),"A",""),"B","")),0),0)+
IF($B$1&gt;=2,IFERROR(VALUE(SUBSTITUTE(SUBSTITUTE(TRIM(Y9),"A",""),"B","")),0),0)+
IF($B$1&gt;=3,IFERROR(VALUE(SUBSTITUTE(SUBSTITUTE(TRIM(Z9),"A",""),"B","")),0),0)+
IF($B$1&gt;=4,IFERROR(VALUE(SUBSTITUTE(SUBSTITUTE(TRIM(AA9),"A",""),"B","")),0),0)+
IF($B$1&gt;=5,IFERROR(VALUE(SUBSTITUTE(SUBSTITUTE(TRIM(AB9),"A",""),"B","")),0),0)+
IF($B$1&gt;=6,IFERROR(VALUE(SUBSTITUTE(SUBSTITUTE(TRIM(AC9),"A",""),"B","")),0),0)+
IF($B$1&gt;=7,IFERROR(VALUE(SUBSTITUTE(SUBSTITUTE(TRIM(AD9),"A",""),"B","")),0),0)
)</f>
        <v>80</v>
      </c>
      <c r="X9" s="3"/>
      <c r="Y9" s="3" t="s">
        <v>14</v>
      </c>
      <c r="Z9" s="3" t="s">
        <v>14</v>
      </c>
      <c r="AB9" s="3" t="s">
        <v>118</v>
      </c>
      <c r="AC9" s="3" t="s">
        <v>156</v>
      </c>
      <c r="AE9" s="13">
        <f>AH9+AK9+AN9+AQ9+AT9+AW9+AZ9+BC9</f>
        <v>370.43264941373656</v>
      </c>
      <c r="AG9" s="13">
        <f>SQRT(AF9)</f>
        <v>0</v>
      </c>
      <c r="AH9" s="13">
        <f>IF(AG9&gt;0,AG9/AG$99*1000, 0)</f>
        <v>0</v>
      </c>
      <c r="AI9" s="13"/>
      <c r="AJ9" s="13">
        <f>SQRT(AI9)</f>
        <v>0</v>
      </c>
      <c r="AK9" s="13">
        <f>IF(AJ9&gt;0,AJ9/AJ$99*1000, 0)</f>
        <v>0</v>
      </c>
      <c r="AL9" s="13">
        <v>5.3</v>
      </c>
      <c r="AM9" s="13">
        <f>SQRT(AL9)</f>
        <v>2.3021728866442674</v>
      </c>
      <c r="AN9" s="13">
        <f>IF(AM9&gt;0,AM9/AM$99*1000, 0)</f>
        <v>93.201467540847759</v>
      </c>
      <c r="AO9" s="13">
        <v>2.2999999999999998</v>
      </c>
      <c r="AP9" s="13">
        <f>SQRT(AO9)</f>
        <v>1.51657508881031</v>
      </c>
      <c r="AQ9" s="13">
        <f>IF(AP9&gt;0,AP9/AP$99*1000, 0)</f>
        <v>102.9766967152101</v>
      </c>
      <c r="AR9" s="13">
        <v>1.3</v>
      </c>
      <c r="AS9" s="13">
        <f>SQRT(AR9)</f>
        <v>1.1401754250991381</v>
      </c>
      <c r="AT9" s="13">
        <f>IF(AS9&gt;0,AS9/AS$99*1000, 0)</f>
        <v>64.571798731184955</v>
      </c>
      <c r="AU9" s="13">
        <v>2.2000000000000002</v>
      </c>
      <c r="AV9" s="13">
        <f>SQRT(AU9)</f>
        <v>1.4832396974191326</v>
      </c>
      <c r="AW9" s="13">
        <f>IF(AV9&gt;0,AV9/AV$99*1000, 0)</f>
        <v>66.141219378933613</v>
      </c>
      <c r="AY9" s="13">
        <f>SQRT(AX9)</f>
        <v>0</v>
      </c>
      <c r="AZ9" s="13">
        <f>IF(AY9&gt;0,AY9/AY$99*1000, 0)</f>
        <v>0</v>
      </c>
      <c r="BA9" s="27">
        <v>353</v>
      </c>
      <c r="BB9" s="13">
        <f>SQRT(BA9)</f>
        <v>18.788294228055936</v>
      </c>
      <c r="BC9" s="13">
        <f>IF(BB9&gt;0,BB9/BB$99*1000, 0)</f>
        <v>43.541467047560083</v>
      </c>
      <c r="BD9" s="24">
        <v>1.53</v>
      </c>
      <c r="BE9" s="21">
        <f>SQRT(BD9)</f>
        <v>1.2369316876852983</v>
      </c>
      <c r="BF9" s="13">
        <f>IF(BE9&gt;0, BE9/BE$99*10000, 0)</f>
        <v>318.54402467533856</v>
      </c>
      <c r="BG9" s="27">
        <v>15</v>
      </c>
      <c r="BH9" s="13">
        <f>IF(BG9&gt;0, BG9/BG$99*2000, 0)</f>
        <v>41.724617524339365</v>
      </c>
      <c r="BI9" s="30">
        <v>0</v>
      </c>
      <c r="BJ9" s="30">
        <v>0</v>
      </c>
      <c r="BK9" s="30">
        <f>BJ9+BI9</f>
        <v>0</v>
      </c>
      <c r="BL9" s="3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</row>
    <row r="10" spans="2:90" ht="20.100000000000001" customHeight="1" x14ac:dyDescent="0.25">
      <c r="B10" s="1">
        <v>7</v>
      </c>
      <c r="C10" s="50">
        <v>6</v>
      </c>
      <c r="D10" s="51" t="str">
        <f>IF(C10&lt;B10,"▲"&amp;B10-C10,IF(C10&gt;B10,"▼"&amp;C10-B10,"—"))</f>
        <v>▲1</v>
      </c>
      <c r="E10" s="52" t="s">
        <v>25</v>
      </c>
      <c r="F10" s="53">
        <f>G10+O10+W10+AE10+BF10+BH10+BK10</f>
        <v>1450.0652800025014</v>
      </c>
      <c r="G10" s="19">
        <f>IF(COUNTIF(H10:INDEX(H10:N10,$B$1),"&gt;0")=0,0,
SUMIF(H10:INDEX(H10:N10,$B$1),"&gt;0",H10:INDEX(H10:N10,$B$1))*$B$1/COUNTIF(H10:INDEX(H10:N10,$B$1),"&gt;0")*
IF($B$1-COUNTIF(H10:INDEX(H10:N10,$B$1),"&gt;0")&lt;=2,1,
IF($B$1-COUNTIF(H10:INDEX(H10:N10,$B$1),"&gt;0")=3,0.8,
IF($B$1-COUNTIF(H10:INDEX(H10:N10,$B$1),"&gt;0")=4,0.6,
IF($B$1-COUNTIF(H10:INDEX(H10:N10,$B$1),"&gt;0")=5,0.4,
IF($B$1-COUNTIF(H10:INDEX(H10:N10,$B$1),"&gt;0")=6,0.2,0))))))</f>
        <v>587</v>
      </c>
      <c r="H10" s="3">
        <v>62</v>
      </c>
      <c r="I10" s="3">
        <v>89</v>
      </c>
      <c r="J10" s="3">
        <v>63</v>
      </c>
      <c r="K10" s="3">
        <v>138</v>
      </c>
      <c r="L10" s="3">
        <v>76</v>
      </c>
      <c r="M10" s="3">
        <v>88</v>
      </c>
      <c r="N10" s="3">
        <v>71</v>
      </c>
      <c r="O10" s="13">
        <f>0.2*IF(COUNTIF(P10:INDEX(P10:V10,$B$1),"&gt;0")=0,0,
(SUMIF(P10:INDEX(P10:V10,$B$1),"&gt;0",P10:INDEX(P10:V10,$B$1))*$B$1/COUNTIF(P10:INDEX(P10:V10,$B$1),"&gt;0"))*
IF($B$1-COUNTIF(P10:INDEX(P10:V10,$B$1),"&gt;0")&lt;=2,1,
IF($B$1-COUNTIF(P10:INDEX(P10:V10,$B$1),"&gt;0")=3,0.8,
IF($B$1-COUNTIF(P10:INDEX(P10:V10,$B$1),"&gt;0")=4,0.6,
IF($B$1-COUNTIF(P10:INDEX(P10:V10,$B$1),"&gt;0")=5,0.4,
IF($B$1-COUNTIF(P10:INDEX(P10:V10,$B$1),"&gt;0")=6,0.2,0))))))</f>
        <v>66.600000000000009</v>
      </c>
      <c r="P10" s="3">
        <v>52</v>
      </c>
      <c r="Q10" s="3">
        <v>45</v>
      </c>
      <c r="R10" s="3">
        <v>39</v>
      </c>
      <c r="S10" s="3">
        <v>54</v>
      </c>
      <c r="T10" s="3">
        <v>58</v>
      </c>
      <c r="U10" s="3">
        <v>41</v>
      </c>
      <c r="V10" s="3">
        <v>44</v>
      </c>
      <c r="W10" s="3">
        <f>MIN(100,
IF($B$1&gt;=1,IFERROR(VALUE(SUBSTITUTE(SUBSTITUTE(TRIM(X10),"A",""),"B","")),0),0)+
IF($B$1&gt;=2,IFERROR(VALUE(SUBSTITUTE(SUBSTITUTE(TRIM(Y10),"A",""),"B","")),0),0)+
IF($B$1&gt;=3,IFERROR(VALUE(SUBSTITUTE(SUBSTITUTE(TRIM(Z10),"A",""),"B","")),0),0)+
IF($B$1&gt;=4,IFERROR(VALUE(SUBSTITUTE(SUBSTITUTE(TRIM(AA10),"A",""),"B","")),0),0)+
IF($B$1&gt;=5,IFERROR(VALUE(SUBSTITUTE(SUBSTITUTE(TRIM(AB10),"A",""),"B","")),0),0)+
IF($B$1&gt;=6,IFERROR(VALUE(SUBSTITUTE(SUBSTITUTE(TRIM(AC10),"A",""),"B","")),0),0)+
IF($B$1&gt;=7,IFERROR(VALUE(SUBSTITUTE(SUBSTITUTE(TRIM(AD10),"A",""),"B","")),0),0)
)</f>
        <v>100</v>
      </c>
      <c r="X10" s="3" t="s">
        <v>16</v>
      </c>
      <c r="Y10" s="3" t="s">
        <v>16</v>
      </c>
      <c r="Z10" s="3" t="s">
        <v>16</v>
      </c>
      <c r="AA10" s="3" t="s">
        <v>120</v>
      </c>
      <c r="AB10" s="3" t="s">
        <v>120</v>
      </c>
      <c r="AC10" s="3" t="s">
        <v>156</v>
      </c>
      <c r="AD10" s="3" t="s">
        <v>179</v>
      </c>
      <c r="AE10" s="13">
        <f>AH10+AK10+AN10+AQ10+AT10+AW10+AZ10+BC10</f>
        <v>375.85543505175946</v>
      </c>
      <c r="AF10" s="13">
        <v>2.6</v>
      </c>
      <c r="AG10" s="13">
        <f>SQRT(AF10)</f>
        <v>1.61245154965971</v>
      </c>
      <c r="AH10" s="13">
        <f>IF(AG10&gt;0,AG10/AG$99*1000, 0)</f>
        <v>43.177283084038386</v>
      </c>
      <c r="AI10" s="13">
        <v>0.8</v>
      </c>
      <c r="AJ10" s="13">
        <f>SQRT(AI10)</f>
        <v>0.89442719099991586</v>
      </c>
      <c r="AK10" s="13">
        <f>IF(AJ10&gt;0,AJ10/AJ$99*1000, 0)</f>
        <v>26.456290279162634</v>
      </c>
      <c r="AL10" s="13">
        <v>1.1000000000000001</v>
      </c>
      <c r="AM10" s="13">
        <f>SQRT(AL10)</f>
        <v>1.0488088481701516</v>
      </c>
      <c r="AN10" s="13">
        <f>IF(AM10&gt;0,AM10/AM$99*1000, 0)</f>
        <v>42.460114262647366</v>
      </c>
      <c r="AO10" s="13">
        <v>1.4</v>
      </c>
      <c r="AP10" s="13">
        <f>SQRT(AO10)</f>
        <v>1.1832159566199232</v>
      </c>
      <c r="AQ10" s="13">
        <f>IF(AP10&gt;0,AP10/AP$99*1000, 0)</f>
        <v>80.34133727531308</v>
      </c>
      <c r="AR10" s="13">
        <v>0.5</v>
      </c>
      <c r="AS10" s="13">
        <f>SQRT(AR10)</f>
        <v>0.70710678118654757</v>
      </c>
      <c r="AT10" s="13">
        <f>IF(AS10&gt;0,AS10/AS$99*1000, 0)</f>
        <v>40.045729587851575</v>
      </c>
      <c r="AU10" s="13">
        <v>0.5</v>
      </c>
      <c r="AV10" s="13">
        <f>SQRT(AU10)</f>
        <v>0.70710678118654757</v>
      </c>
      <c r="AW10" s="13">
        <f>IF(AV10&gt;0,AV10/AV$99*1000, 0)</f>
        <v>31.531589142449391</v>
      </c>
      <c r="AX10" s="13">
        <v>2.5</v>
      </c>
      <c r="AY10" s="13">
        <f>SQRT(AX10)</f>
        <v>1.5811388300841898</v>
      </c>
      <c r="AZ10" s="13">
        <f>IF(AY10&gt;0,AY10/AY$99*1000, 0)</f>
        <v>76.392487853353842</v>
      </c>
      <c r="BA10" s="27">
        <v>234</v>
      </c>
      <c r="BB10" s="13">
        <f>SQRT(BA10)</f>
        <v>15.297058540778355</v>
      </c>
      <c r="BC10" s="13">
        <f>IF(BB10&gt;0,BB10/BB$99*1000, 0)</f>
        <v>35.450603566943208</v>
      </c>
      <c r="BD10" s="24">
        <v>1.22</v>
      </c>
      <c r="BE10" s="21">
        <f>SQRT(BD10)</f>
        <v>1.1045361017187261</v>
      </c>
      <c r="BF10" s="13">
        <f>IF(BE10&gt;0, BE10/BE$99*10000, 0)</f>
        <v>284.44850976298102</v>
      </c>
      <c r="BG10" s="27">
        <v>13</v>
      </c>
      <c r="BH10" s="13">
        <f>IF(BG10&gt;0, BG10/BG$99*2000, 0)</f>
        <v>36.161335187760784</v>
      </c>
      <c r="BI10" s="30">
        <v>0</v>
      </c>
      <c r="BJ10" s="30">
        <v>0</v>
      </c>
      <c r="BK10" s="30">
        <f>BJ10+BI10</f>
        <v>0</v>
      </c>
      <c r="BL10" s="3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</row>
    <row r="11" spans="2:90" ht="20.100000000000001" customHeight="1" x14ac:dyDescent="0.25">
      <c r="B11" s="1">
        <v>6</v>
      </c>
      <c r="C11" s="50">
        <v>7</v>
      </c>
      <c r="D11" s="51" t="str">
        <f>IF(C11&lt;B11,"▲"&amp;B11-C11,IF(C11&gt;B11,"▼"&amp;C11-B11,"—"))</f>
        <v>▼1</v>
      </c>
      <c r="E11" s="52" t="s">
        <v>15</v>
      </c>
      <c r="F11" s="53">
        <f>G11+O11+W11+AE11+BF11+BH11+BK11</f>
        <v>1442.8635807960547</v>
      </c>
      <c r="G11" s="19">
        <f>IF(COUNTIF(H11:INDEX(H11:N11,$B$1),"&gt;0")=0,0,
SUMIF(H11:INDEX(H11:N11,$B$1),"&gt;0",H11:INDEX(H11:N11,$B$1))*$B$1/COUNTIF(H11:INDEX(H11:N11,$B$1),"&gt;0")*
IF($B$1-COUNTIF(H11:INDEX(H11:N11,$B$1),"&gt;0")&lt;=2,1,
IF($B$1-COUNTIF(H11:INDEX(H11:N11,$B$1),"&gt;0")=3,0.8,
IF($B$1-COUNTIF(H11:INDEX(H11:N11,$B$1),"&gt;0")=4,0.6,
IF($B$1-COUNTIF(H11:INDEX(H11:N11,$B$1),"&gt;0")=5,0.4,
IF($B$1-COUNTIF(H11:INDEX(H11:N11,$B$1),"&gt;0")=6,0.2,0))))))</f>
        <v>680</v>
      </c>
      <c r="H11" s="3">
        <v>80</v>
      </c>
      <c r="I11" s="3">
        <v>118</v>
      </c>
      <c r="J11" s="3">
        <v>105</v>
      </c>
      <c r="K11" s="3">
        <v>92</v>
      </c>
      <c r="L11" s="3">
        <v>80</v>
      </c>
      <c r="M11" s="3">
        <v>122</v>
      </c>
      <c r="N11" s="3">
        <v>83</v>
      </c>
      <c r="O11" s="13">
        <f>0.2*IF(COUNTIF(P11:INDEX(P11:V11,$B$1),"&gt;0")=0,0,
(SUMIF(P11:INDEX(P11:V11,$B$1),"&gt;0",P11:INDEX(P11:V11,$B$1))*$B$1/COUNTIF(P11:INDEX(P11:V11,$B$1),"&gt;0"))*
IF($B$1-COUNTIF(P11:INDEX(P11:V11,$B$1),"&gt;0")&lt;=2,1,
IF($B$1-COUNTIF(P11:INDEX(P11:V11,$B$1),"&gt;0")=3,0.8,
IF($B$1-COUNTIF(P11:INDEX(P11:V11,$B$1),"&gt;0")=4,0.6,
IF($B$1-COUNTIF(P11:INDEX(P11:V11,$B$1),"&gt;0")=5,0.4,
IF($B$1-COUNTIF(P11:INDEX(P11:V11,$B$1),"&gt;0")=6,0.2,0))))))</f>
        <v>69.2</v>
      </c>
      <c r="P11" s="3">
        <v>56</v>
      </c>
      <c r="Q11" s="3">
        <v>47</v>
      </c>
      <c r="R11" s="3">
        <v>56</v>
      </c>
      <c r="S11" s="3">
        <v>25</v>
      </c>
      <c r="T11" s="3">
        <v>53</v>
      </c>
      <c r="U11" s="3">
        <v>53</v>
      </c>
      <c r="V11" s="3">
        <v>56</v>
      </c>
      <c r="W11" s="3">
        <f>MIN(100,
IF($B$1&gt;=1,IFERROR(VALUE(SUBSTITUTE(SUBSTITUTE(TRIM(X11),"A",""),"B","")),0),0)+
IF($B$1&gt;=2,IFERROR(VALUE(SUBSTITUTE(SUBSTITUTE(TRIM(Y11),"A",""),"B","")),0),0)+
IF($B$1&gt;=3,IFERROR(VALUE(SUBSTITUTE(SUBSTITUTE(TRIM(Z11),"A",""),"B","")),0),0)+
IF($B$1&gt;=4,IFERROR(VALUE(SUBSTITUTE(SUBSTITUTE(TRIM(AA11),"A",""),"B","")),0),0)+
IF($B$1&gt;=5,IFERROR(VALUE(SUBSTITUTE(SUBSTITUTE(TRIM(AB11),"A",""),"B","")),0),0)+
IF($B$1&gt;=6,IFERROR(VALUE(SUBSTITUTE(SUBSTITUTE(TRIM(AC11),"A",""),"B","")),0),0)+
IF($B$1&gt;=7,IFERROR(VALUE(SUBSTITUTE(SUBSTITUTE(TRIM(AD11),"A",""),"B","")),0),0)
)</f>
        <v>100</v>
      </c>
      <c r="X11" s="3" t="s">
        <v>14</v>
      </c>
      <c r="Y11" s="3" t="s">
        <v>14</v>
      </c>
      <c r="Z11" s="3" t="s">
        <v>14</v>
      </c>
      <c r="AB11" s="3" t="s">
        <v>118</v>
      </c>
      <c r="AC11" s="3" t="s">
        <v>156</v>
      </c>
      <c r="AD11" s="3" t="s">
        <v>180</v>
      </c>
      <c r="AE11" s="13">
        <f>AH11+AK11+AN11+AQ11+AT11+AW11+AZ11+BC11</f>
        <v>323.04344301167322</v>
      </c>
      <c r="AF11" s="13">
        <v>2.5</v>
      </c>
      <c r="AG11" s="13">
        <f>SQRT(AF11)</f>
        <v>1.5811388300841898</v>
      </c>
      <c r="AH11" s="13">
        <f>IF(AG11&gt;0,AG11/AG$99*1000, 0)</f>
        <v>42.338809421044495</v>
      </c>
      <c r="AI11" s="13">
        <v>1.2</v>
      </c>
      <c r="AJ11" s="13">
        <f>SQRT(AI11)</f>
        <v>1.0954451150103321</v>
      </c>
      <c r="AK11" s="13">
        <f>IF(AJ11&gt;0,AJ11/AJ$99*1000, 0)</f>
        <v>32.402205835451589</v>
      </c>
      <c r="AL11" s="13">
        <v>0.8</v>
      </c>
      <c r="AM11" s="13">
        <f>SQRT(AL11)</f>
        <v>0.89442719099991586</v>
      </c>
      <c r="AN11" s="13">
        <f>IF(AM11&gt;0,AM11/AM$99*1000, 0)</f>
        <v>36.210107109349956</v>
      </c>
      <c r="AO11" s="13">
        <v>1.4</v>
      </c>
      <c r="AP11" s="13">
        <f>SQRT(AO11)</f>
        <v>1.1832159566199232</v>
      </c>
      <c r="AQ11" s="13">
        <f>IF(AP11&gt;0,AP11/AP$99*1000, 0)</f>
        <v>80.34133727531308</v>
      </c>
      <c r="AR11" s="13">
        <v>0.3</v>
      </c>
      <c r="AS11" s="13">
        <f>SQRT(AR11)</f>
        <v>0.54772255750516607</v>
      </c>
      <c r="AT11" s="13">
        <f>IF(AS11&gt;0,AS11/AS$99*1000, 0)</f>
        <v>31.019288756094944</v>
      </c>
      <c r="AU11" s="13">
        <v>0.2</v>
      </c>
      <c r="AV11" s="13">
        <f>SQRT(AU11)</f>
        <v>0.44721359549995793</v>
      </c>
      <c r="AW11" s="13">
        <f>IF(AV11&gt;0,AV11/AV$99*1000, 0)</f>
        <v>19.942327986955107</v>
      </c>
      <c r="AX11" s="13">
        <v>1.5</v>
      </c>
      <c r="AY11" s="13">
        <f>SQRT(AX11)</f>
        <v>1.2247448713915889</v>
      </c>
      <c r="AZ11" s="13">
        <f>IF(AY11&gt;0,AY11/AY$99*1000, 0)</f>
        <v>59.173366646278353</v>
      </c>
      <c r="BA11" s="27">
        <v>87</v>
      </c>
      <c r="BB11" s="13">
        <f>SQRT(BA11)</f>
        <v>9.3273790530888157</v>
      </c>
      <c r="BC11" s="13">
        <f>IF(BB11&gt;0,BB11/BB$99*1000, 0)</f>
        <v>21.615999981185716</v>
      </c>
      <c r="BD11" s="24">
        <v>0.79</v>
      </c>
      <c r="BE11" s="21">
        <f>SQRT(BD11)</f>
        <v>0.88881944173155891</v>
      </c>
      <c r="BF11" s="13">
        <f>IF(BE11&gt;0, BE11/BE$99*10000, 0)</f>
        <v>228.89552026004216</v>
      </c>
      <c r="BG11" s="27">
        <v>15</v>
      </c>
      <c r="BH11" s="13">
        <f>IF(BG11&gt;0, BG11/BG$99*2000, 0)</f>
        <v>41.724617524339365</v>
      </c>
      <c r="BI11" s="30">
        <v>0</v>
      </c>
      <c r="BJ11" s="30">
        <v>0</v>
      </c>
      <c r="BK11" s="30">
        <f>BJ11+BI11</f>
        <v>0</v>
      </c>
      <c r="BL11" s="3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</row>
    <row r="12" spans="2:90" ht="20.100000000000001" customHeight="1" x14ac:dyDescent="0.25">
      <c r="B12" s="1">
        <v>9</v>
      </c>
      <c r="C12" s="50">
        <v>8</v>
      </c>
      <c r="D12" s="51" t="str">
        <f>IF(C12&lt;B12,"▲"&amp;B12-C12,IF(C12&gt;B12,"▼"&amp;C12-B12,"—"))</f>
        <v>▲1</v>
      </c>
      <c r="E12" s="52" t="s">
        <v>26</v>
      </c>
      <c r="F12" s="53">
        <f>G12+O12+W12+AE12+BF12+BH12+BK12</f>
        <v>1430.4785997844799</v>
      </c>
      <c r="G12" s="19">
        <f>IF(COUNTIF(H12:INDEX(H12:N12,$B$1),"&gt;0")=0,0,
SUMIF(H12:INDEX(H12:N12,$B$1),"&gt;0",H12:INDEX(H12:N12,$B$1))*$B$1/COUNTIF(H12:INDEX(H12:N12,$B$1),"&gt;0")*
IF($B$1-COUNTIF(H12:INDEX(H12:N12,$B$1),"&gt;0")&lt;=2,1,
IF($B$1-COUNTIF(H12:INDEX(H12:N12,$B$1),"&gt;0")=3,0.8,
IF($B$1-COUNTIF(H12:INDEX(H12:N12,$B$1),"&gt;0")=4,0.6,
IF($B$1-COUNTIF(H12:INDEX(H12:N12,$B$1),"&gt;0")=5,0.4,
IF($B$1-COUNTIF(H12:INDEX(H12:N12,$B$1),"&gt;0")=6,0.2,0))))))</f>
        <v>560</v>
      </c>
      <c r="H12" s="3">
        <v>80</v>
      </c>
      <c r="I12" s="3">
        <v>70</v>
      </c>
      <c r="J12" s="3">
        <v>60</v>
      </c>
      <c r="K12" s="3">
        <v>138</v>
      </c>
      <c r="L12" s="3">
        <v>75</v>
      </c>
      <c r="M12" s="3">
        <v>62</v>
      </c>
      <c r="N12" s="3">
        <v>75</v>
      </c>
      <c r="O12" s="13">
        <f>0.2*IF(COUNTIF(P12:INDEX(P12:V12,$B$1),"&gt;0")=0,0,
(SUMIF(P12:INDEX(P12:V12,$B$1),"&gt;0",P12:INDEX(P12:V12,$B$1))*$B$1/COUNTIF(P12:INDEX(P12:V12,$B$1),"&gt;0"))*
IF($B$1-COUNTIF(P12:INDEX(P12:V12,$B$1),"&gt;0")&lt;=2,1,
IF($B$1-COUNTIF(P12:INDEX(P12:V12,$B$1),"&gt;0")=3,0.8,
IF($B$1-COUNTIF(P12:INDEX(P12:V12,$B$1),"&gt;0")=4,0.6,
IF($B$1-COUNTIF(P12:INDEX(P12:V12,$B$1),"&gt;0")=5,0.4,
IF($B$1-COUNTIF(P12:INDEX(P12:V12,$B$1),"&gt;0")=6,0.2,0))))))</f>
        <v>83.800000000000011</v>
      </c>
      <c r="P12" s="3">
        <v>66</v>
      </c>
      <c r="Q12" s="3">
        <v>59</v>
      </c>
      <c r="R12" s="3">
        <v>60</v>
      </c>
      <c r="S12" s="3">
        <v>64</v>
      </c>
      <c r="T12" s="3">
        <v>61</v>
      </c>
      <c r="U12" s="3">
        <v>43</v>
      </c>
      <c r="V12" s="3">
        <v>66</v>
      </c>
      <c r="W12" s="3">
        <f>MIN(100,
IF($B$1&gt;=1,IFERROR(VALUE(SUBSTITUTE(SUBSTITUTE(TRIM(X12),"A",""),"B","")),0),0)+
IF($B$1&gt;=2,IFERROR(VALUE(SUBSTITUTE(SUBSTITUTE(TRIM(Y12),"A",""),"B","")),0),0)+
IF($B$1&gt;=3,IFERROR(VALUE(SUBSTITUTE(SUBSTITUTE(TRIM(Z12),"A",""),"B","")),0),0)+
IF($B$1&gt;=4,IFERROR(VALUE(SUBSTITUTE(SUBSTITUTE(TRIM(AA12),"A",""),"B","")),0),0)+
IF($B$1&gt;=5,IFERROR(VALUE(SUBSTITUTE(SUBSTITUTE(TRIM(AB12),"A",""),"B","")),0),0)+
IF($B$1&gt;=6,IFERROR(VALUE(SUBSTITUTE(SUBSTITUTE(TRIM(AC12),"A",""),"B","")),0),0)+
IF($B$1&gt;=7,IFERROR(VALUE(SUBSTITUTE(SUBSTITUTE(TRIM(AD12),"A",""),"B","")),0),0)
)</f>
        <v>80</v>
      </c>
      <c r="X12" s="3" t="s">
        <v>14</v>
      </c>
      <c r="Y12" s="3" t="s">
        <v>14</v>
      </c>
      <c r="AB12" s="3" t="s">
        <v>120</v>
      </c>
      <c r="AC12" s="3" t="s">
        <v>156</v>
      </c>
      <c r="AE12" s="13">
        <f>AH12+AK12+AN12+AQ12+AT12+AW12+AZ12+BC12</f>
        <v>482.87064401153867</v>
      </c>
      <c r="AF12" s="13">
        <v>7</v>
      </c>
      <c r="AG12" s="13">
        <f>SQRT(AF12)</f>
        <v>2.6457513110645907</v>
      </c>
      <c r="AH12" s="13">
        <f>IF(AG12&gt;0,AG12/AG$99*1000, 0)</f>
        <v>70.846378827264502</v>
      </c>
      <c r="AI12" s="13">
        <v>4.2</v>
      </c>
      <c r="AJ12" s="13">
        <f>SQRT(AI12)</f>
        <v>2.0493901531919199</v>
      </c>
      <c r="AK12" s="13">
        <f>IF(AJ12&gt;0,AJ12/AJ$99*1000, 0)</f>
        <v>60.618976405993578</v>
      </c>
      <c r="AL12" s="13">
        <v>11.3</v>
      </c>
      <c r="AM12" s="13">
        <f>SQRT(AL12)</f>
        <v>3.3615472627943221</v>
      </c>
      <c r="AN12" s="13">
        <f>IF(AM12&gt;0,AM12/AM$99*1000, 0)</f>
        <v>136.08931801687146</v>
      </c>
      <c r="AP12" s="13">
        <f>SQRT(AO12)</f>
        <v>0</v>
      </c>
      <c r="AQ12" s="13">
        <f>IF(AP12&gt;0,AP12/AP$99*1000, 0)</f>
        <v>0</v>
      </c>
      <c r="AS12" s="13">
        <f>SQRT(AR12)</f>
        <v>0</v>
      </c>
      <c r="AT12" s="13">
        <f>IF(AS12&gt;0,AS12/AS$99*1000, 0)</f>
        <v>0</v>
      </c>
      <c r="AU12" s="13">
        <v>0.6</v>
      </c>
      <c r="AV12" s="13">
        <f>SQRT(AU12)</f>
        <v>0.7745966692414834</v>
      </c>
      <c r="AW12" s="13">
        <f>IF(AV12&gt;0,AV12/AV$99*1000, 0)</f>
        <v>34.541125294609017</v>
      </c>
      <c r="AX12" s="13">
        <v>6.1</v>
      </c>
      <c r="AY12" s="13">
        <f>SQRT(AX12)</f>
        <v>2.4698178070456938</v>
      </c>
      <c r="AZ12" s="13">
        <f>IF(AY12&gt;0,AY12/AY$99*1000, 0)</f>
        <v>119.32888069967196</v>
      </c>
      <c r="BA12" s="27">
        <v>703</v>
      </c>
      <c r="BB12" s="13">
        <f>SQRT(BA12)</f>
        <v>26.514147167125703</v>
      </c>
      <c r="BC12" s="13">
        <f>IF(BB12&gt;0,BB12/BB$99*1000, 0)</f>
        <v>61.445964767128153</v>
      </c>
      <c r="BD12" s="24">
        <v>0.7</v>
      </c>
      <c r="BE12" s="21">
        <f>SQRT(BD12)</f>
        <v>0.83666002653407556</v>
      </c>
      <c r="BF12" s="13">
        <f>IF(BE12&gt;0, BE12/BE$99*10000, 0)</f>
        <v>215.46303226807348</v>
      </c>
      <c r="BG12" s="27">
        <v>3</v>
      </c>
      <c r="BH12" s="13">
        <f>IF(BG12&gt;0, BG12/BG$99*2000, 0)</f>
        <v>8.3449235048678716</v>
      </c>
      <c r="BI12" s="30">
        <v>0</v>
      </c>
      <c r="BJ12" s="30">
        <v>0</v>
      </c>
      <c r="BK12" s="30">
        <f>BJ12+BI12</f>
        <v>0</v>
      </c>
      <c r="BL12" s="3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</row>
    <row r="13" spans="2:90" ht="20.100000000000001" customHeight="1" x14ac:dyDescent="0.25">
      <c r="B13" s="1">
        <v>8</v>
      </c>
      <c r="C13" s="50">
        <v>9</v>
      </c>
      <c r="D13" s="51" t="str">
        <f>IF(C13&lt;B13,"▲"&amp;B13-C13,IF(C13&gt;B13,"▼"&amp;C13-B13,"—"))</f>
        <v>▼1</v>
      </c>
      <c r="E13" s="52" t="s">
        <v>18</v>
      </c>
      <c r="F13" s="53">
        <f>G13+O13+W13+AE13+BF13+BH13+BK13</f>
        <v>1429.3507721350663</v>
      </c>
      <c r="G13" s="19">
        <f>IF(COUNTIF(H13:INDEX(H13:N13,$B$1),"&gt;0")=0,0,
SUMIF(H13:INDEX(H13:N13,$B$1),"&gt;0",H13:INDEX(H13:N13,$B$1))*$B$1/COUNTIF(H13:INDEX(H13:N13,$B$1),"&gt;0")*
IF($B$1-COUNTIF(H13:INDEX(H13:N13,$B$1),"&gt;0")&lt;=2,1,
IF($B$1-COUNTIF(H13:INDEX(H13:N13,$B$1),"&gt;0")=3,0.8,
IF($B$1-COUNTIF(H13:INDEX(H13:N13,$B$1),"&gt;0")=4,0.6,
IF($B$1-COUNTIF(H13:INDEX(H13:N13,$B$1),"&gt;0")=5,0.4,
IF($B$1-COUNTIF(H13:INDEX(H13:N13,$B$1),"&gt;0")=6,0.2,0))))))</f>
        <v>667</v>
      </c>
      <c r="H13" s="3">
        <v>58</v>
      </c>
      <c r="I13" s="3">
        <v>85</v>
      </c>
      <c r="J13" s="3">
        <v>112</v>
      </c>
      <c r="K13" s="3">
        <v>137</v>
      </c>
      <c r="L13" s="3">
        <v>82</v>
      </c>
      <c r="M13" s="3">
        <v>105</v>
      </c>
      <c r="N13" s="3">
        <v>88</v>
      </c>
      <c r="O13" s="13">
        <f>0.2*IF(COUNTIF(P13:INDEX(P13:V13,$B$1),"&gt;0")=0,0,
(SUMIF(P13:INDEX(P13:V13,$B$1),"&gt;0",P13:INDEX(P13:V13,$B$1))*$B$1/COUNTIF(P13:INDEX(P13:V13,$B$1),"&gt;0"))*
IF($B$1-COUNTIF(P13:INDEX(P13:V13,$B$1),"&gt;0")&lt;=2,1,
IF($B$1-COUNTIF(P13:INDEX(P13:V13,$B$1),"&gt;0")=3,0.8,
IF($B$1-COUNTIF(P13:INDEX(P13:V13,$B$1),"&gt;0")=4,0.6,
IF($B$1-COUNTIF(P13:INDEX(P13:V13,$B$1),"&gt;0")=5,0.4,
IF($B$1-COUNTIF(P13:INDEX(P13:V13,$B$1),"&gt;0")=6,0.2,0))))))</f>
        <v>68.2</v>
      </c>
      <c r="P13" s="3">
        <v>48</v>
      </c>
      <c r="Q13" s="3">
        <v>44</v>
      </c>
      <c r="R13" s="3">
        <v>50</v>
      </c>
      <c r="S13" s="3">
        <v>50</v>
      </c>
      <c r="T13" s="3">
        <v>53</v>
      </c>
      <c r="U13" s="3">
        <v>46</v>
      </c>
      <c r="V13" s="3">
        <v>50</v>
      </c>
      <c r="W13" s="3">
        <f>MIN(100,
IF($B$1&gt;=1,IFERROR(VALUE(SUBSTITUTE(SUBSTITUTE(TRIM(X13),"A",""),"B","")),0),0)+
IF($B$1&gt;=2,IFERROR(VALUE(SUBSTITUTE(SUBSTITUTE(TRIM(Y13),"A",""),"B","")),0),0)+
IF($B$1&gt;=3,IFERROR(VALUE(SUBSTITUTE(SUBSTITUTE(TRIM(Z13),"A",""),"B","")),0),0)+
IF($B$1&gt;=4,IFERROR(VALUE(SUBSTITUTE(SUBSTITUTE(TRIM(AA13),"A",""),"B","")),0),0)+
IF($B$1&gt;=5,IFERROR(VALUE(SUBSTITUTE(SUBSTITUTE(TRIM(AB13),"A",""),"B","")),0),0)+
IF($B$1&gt;=6,IFERROR(VALUE(SUBSTITUTE(SUBSTITUTE(TRIM(AC13),"A",""),"B","")),0),0)+
IF($B$1&gt;=7,IFERROR(VALUE(SUBSTITUTE(SUBSTITUTE(TRIM(AD13),"A",""),"B","")),0),0)
)</f>
        <v>100</v>
      </c>
      <c r="X13" s="3" t="s">
        <v>14</v>
      </c>
      <c r="Y13" s="3" t="s">
        <v>14</v>
      </c>
      <c r="Z13" s="3" t="s">
        <v>14</v>
      </c>
      <c r="AA13" s="3" t="s">
        <v>118</v>
      </c>
      <c r="AB13" s="3" t="s">
        <v>118</v>
      </c>
      <c r="AC13" s="3" t="s">
        <v>156</v>
      </c>
      <c r="AD13" s="3" t="s">
        <v>180</v>
      </c>
      <c r="AE13" s="13">
        <f>AH13+AK13+AN13+AQ13+AT13+AW13+AZ13+BC13</f>
        <v>379.65023719456389</v>
      </c>
      <c r="AF13" s="13">
        <v>4.5999999999999996</v>
      </c>
      <c r="AG13" s="13">
        <f>SQRT(AF13)</f>
        <v>2.1447610589527217</v>
      </c>
      <c r="AH13" s="13">
        <f>IF(AG13&gt;0,AG13/AG$99*1000, 0)</f>
        <v>57.43115531723533</v>
      </c>
      <c r="AI13" s="13">
        <v>2.4</v>
      </c>
      <c r="AJ13" s="13">
        <f>SQRT(AI13)</f>
        <v>1.5491933384829668</v>
      </c>
      <c r="AK13" s="13">
        <f>IF(AJ13&gt;0,AJ13/AJ$99*1000, 0)</f>
        <v>45.823638943300281</v>
      </c>
      <c r="AL13" s="13">
        <v>1.1000000000000001</v>
      </c>
      <c r="AM13" s="13">
        <f>SQRT(AL13)</f>
        <v>1.0488088481701516</v>
      </c>
      <c r="AN13" s="13">
        <f>IF(AM13&gt;0,AM13/AM$99*1000, 0)</f>
        <v>42.460114262647366</v>
      </c>
      <c r="AO13" s="13">
        <v>1.2</v>
      </c>
      <c r="AP13" s="13">
        <f>SQRT(AO13)</f>
        <v>1.0954451150103321</v>
      </c>
      <c r="AQ13" s="13">
        <f>IF(AP13&gt;0,AP13/AP$99*1000, 0)</f>
        <v>74.381624892090557</v>
      </c>
      <c r="AR13" s="13">
        <v>0.5</v>
      </c>
      <c r="AS13" s="13">
        <f>SQRT(AR13)</f>
        <v>0.70710678118654757</v>
      </c>
      <c r="AT13" s="13">
        <f>IF(AS13&gt;0,AS13/AS$99*1000, 0)</f>
        <v>40.045729587851575</v>
      </c>
      <c r="AU13" s="13">
        <v>1.2</v>
      </c>
      <c r="AV13" s="13">
        <f>SQRT(AU13)</f>
        <v>1.0954451150103321</v>
      </c>
      <c r="AW13" s="13">
        <f>IF(AV13&gt;0,AV13/AV$99*1000, 0)</f>
        <v>48.848527851264436</v>
      </c>
      <c r="AX13" s="13">
        <v>0.5</v>
      </c>
      <c r="AY13" s="13">
        <f>SQRT(AX13)</f>
        <v>0.70710678118654757</v>
      </c>
      <c r="AZ13" s="13">
        <f>IF(AY13&gt;0,AY13/AY$99*1000, 0)</f>
        <v>34.163759162085235</v>
      </c>
      <c r="BA13" s="27">
        <v>248</v>
      </c>
      <c r="BB13" s="13">
        <f>SQRT(BA13)</f>
        <v>15.748015748023622</v>
      </c>
      <c r="BC13" s="13">
        <f>IF(BB13&gt;0,BB13/BB$99*1000, 0)</f>
        <v>36.49568717808917</v>
      </c>
      <c r="BD13" s="24">
        <v>0.59</v>
      </c>
      <c r="BE13" s="21">
        <f>SQRT(BD13)</f>
        <v>0.76811457478686085</v>
      </c>
      <c r="BF13" s="13">
        <f>IF(BE13&gt;0, BE13/BE$99*10000, 0)</f>
        <v>197.81068793076659</v>
      </c>
      <c r="BG13" s="27">
        <v>6</v>
      </c>
      <c r="BH13" s="13">
        <f>IF(BG13&gt;0, BG13/BG$99*2000, 0)</f>
        <v>16.689847009735743</v>
      </c>
      <c r="BI13" s="30">
        <v>0</v>
      </c>
      <c r="BJ13" s="30">
        <v>0</v>
      </c>
      <c r="BK13" s="30">
        <f>BJ13+BI13</f>
        <v>0</v>
      </c>
      <c r="BL13" s="3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</row>
    <row r="14" spans="2:90" ht="20.100000000000001" customHeight="1" x14ac:dyDescent="0.25">
      <c r="B14" s="1">
        <v>12</v>
      </c>
      <c r="C14" s="50">
        <v>10</v>
      </c>
      <c r="D14" s="51" t="str">
        <f>IF(C14&lt;B14,"▲"&amp;B14-C14,IF(C14&gt;B14,"▼"&amp;C14-B14,"—"))</f>
        <v>▲2</v>
      </c>
      <c r="E14" s="52" t="s">
        <v>17</v>
      </c>
      <c r="F14" s="53">
        <f>G14+O14+W14+AE14+BF14+BH14+BK14</f>
        <v>1428.5594938427096</v>
      </c>
      <c r="G14" s="19">
        <f>IF(COUNTIF(H14:INDEX(H14:N14,$B$1),"&gt;0")=0,0,
SUMIF(H14:INDEX(H14:N14,$B$1),"&gt;0",H14:INDEX(H14:N14,$B$1))*$B$1/COUNTIF(H14:INDEX(H14:N14,$B$1),"&gt;0")*
IF($B$1-COUNTIF(H14:INDEX(H14:N14,$B$1),"&gt;0")&lt;=2,1,
IF($B$1-COUNTIF(H14:INDEX(H14:N14,$B$1),"&gt;0")=3,0.8,
IF($B$1-COUNTIF(H14:INDEX(H14:N14,$B$1),"&gt;0")=4,0.6,
IF($B$1-COUNTIF(H14:INDEX(H14:N14,$B$1),"&gt;0")=5,0.4,
IF($B$1-COUNTIF(H14:INDEX(H14:N14,$B$1),"&gt;0")=6,0.2,0))))))</f>
        <v>655</v>
      </c>
      <c r="H14" s="3">
        <v>78</v>
      </c>
      <c r="I14" s="3">
        <v>98</v>
      </c>
      <c r="J14" s="3">
        <v>81</v>
      </c>
      <c r="K14" s="3">
        <v>104</v>
      </c>
      <c r="L14" s="3">
        <v>105</v>
      </c>
      <c r="M14" s="3">
        <v>110</v>
      </c>
      <c r="N14" s="3">
        <v>79</v>
      </c>
      <c r="O14" s="13">
        <f>0.2*IF(COUNTIF(P14:INDEX(P14:V14,$B$1),"&gt;0")=0,0,
(SUMIF(P14:INDEX(P14:V14,$B$1),"&gt;0",P14:INDEX(P14:V14,$B$1))*$B$1/COUNTIF(P14:INDEX(P14:V14,$B$1),"&gt;0"))*
IF($B$1-COUNTIF(P14:INDEX(P14:V14,$B$1),"&gt;0")&lt;=2,1,
IF($B$1-COUNTIF(P14:INDEX(P14:V14,$B$1),"&gt;0")=3,0.8,
IF($B$1-COUNTIF(P14:INDEX(P14:V14,$B$1),"&gt;0")=4,0.6,
IF($B$1-COUNTIF(P14:INDEX(P14:V14,$B$1),"&gt;0")=5,0.4,
IF($B$1-COUNTIF(P14:INDEX(P14:V14,$B$1),"&gt;0")=6,0.2,0))))))</f>
        <v>65</v>
      </c>
      <c r="P14" s="3">
        <v>48</v>
      </c>
      <c r="Q14" s="3">
        <v>41</v>
      </c>
      <c r="R14" s="3">
        <v>46</v>
      </c>
      <c r="S14" s="3">
        <v>48</v>
      </c>
      <c r="T14" s="3">
        <v>47</v>
      </c>
      <c r="U14" s="3">
        <v>47</v>
      </c>
      <c r="V14" s="3">
        <v>48</v>
      </c>
      <c r="W14" s="3">
        <f>MIN(100,
IF($B$1&gt;=1,IFERROR(VALUE(SUBSTITUTE(SUBSTITUTE(TRIM(X14),"A",""),"B","")),0),0)+
IF($B$1&gt;=2,IFERROR(VALUE(SUBSTITUTE(SUBSTITUTE(TRIM(Y14),"A",""),"B","")),0),0)+
IF($B$1&gt;=3,IFERROR(VALUE(SUBSTITUTE(SUBSTITUTE(TRIM(Z14),"A",""),"B","")),0),0)+
IF($B$1&gt;=4,IFERROR(VALUE(SUBSTITUTE(SUBSTITUTE(TRIM(AA14),"A",""),"B","")),0),0)+
IF($B$1&gt;=5,IFERROR(VALUE(SUBSTITUTE(SUBSTITUTE(TRIM(AB14),"A",""),"B","")),0),0)+
IF($B$1&gt;=6,IFERROR(VALUE(SUBSTITUTE(SUBSTITUTE(TRIM(AC14),"A",""),"B","")),0),0)+
IF($B$1&gt;=7,IFERROR(VALUE(SUBSTITUTE(SUBSTITUTE(TRIM(AD14),"A",""),"B","")),0),0)
)</f>
        <v>100</v>
      </c>
      <c r="X14" s="3" t="s">
        <v>16</v>
      </c>
      <c r="Y14" s="3" t="s">
        <v>16</v>
      </c>
      <c r="Z14" s="3" t="s">
        <v>16</v>
      </c>
      <c r="AA14" s="3" t="s">
        <v>120</v>
      </c>
      <c r="AB14" s="3" t="s">
        <v>120</v>
      </c>
      <c r="AC14" s="3" t="s">
        <v>156</v>
      </c>
      <c r="AD14" s="3" t="s">
        <v>179</v>
      </c>
      <c r="AE14" s="13">
        <f>AH14+AK14+AN14+AQ14+AT14+AW14+AZ14+BC14</f>
        <v>349.27355745439502</v>
      </c>
      <c r="AF14" s="13">
        <v>5.6</v>
      </c>
      <c r="AG14" s="13">
        <f>SQRT(AF14)</f>
        <v>2.3664319132398464</v>
      </c>
      <c r="AH14" s="13">
        <f>IF(AG14&gt;0,AG14/AG$99*1000, 0)</f>
        <v>63.366927606986103</v>
      </c>
      <c r="AI14" s="13">
        <v>3.6</v>
      </c>
      <c r="AJ14" s="13">
        <f>SQRT(AI14)</f>
        <v>1.8973665961010275</v>
      </c>
      <c r="AK14" s="13">
        <f>IF(AJ14&gt;0,AJ14/AJ$99*1000, 0)</f>
        <v>56.122266784306909</v>
      </c>
      <c r="AM14" s="13">
        <f>SQRT(AL14)</f>
        <v>0</v>
      </c>
      <c r="AN14" s="13">
        <f>IF(AM14&gt;0,AM14/AM$99*1000, 0)</f>
        <v>0</v>
      </c>
      <c r="AO14" s="13">
        <v>0.7</v>
      </c>
      <c r="AP14" s="13">
        <f>SQRT(AO14)</f>
        <v>0.83666002653407556</v>
      </c>
      <c r="AQ14" s="13">
        <f>IF(AP14&gt;0,AP14/AP$99*1000, 0)</f>
        <v>56.809904396969422</v>
      </c>
      <c r="AR14" s="13">
        <v>0.3</v>
      </c>
      <c r="AS14" s="13">
        <f>SQRT(AR14)</f>
        <v>0.54772255750516607</v>
      </c>
      <c r="AT14" s="13">
        <f>IF(AS14&gt;0,AS14/AS$99*1000, 0)</f>
        <v>31.019288756094944</v>
      </c>
      <c r="AU14" s="13">
        <v>0.8</v>
      </c>
      <c r="AV14" s="13">
        <f>SQRT(AU14)</f>
        <v>0.89442719099991586</v>
      </c>
      <c r="AW14" s="13">
        <f>IF(AV14&gt;0,AV14/AV$99*1000, 0)</f>
        <v>39.884655973910213</v>
      </c>
      <c r="AX14" s="13">
        <v>2</v>
      </c>
      <c r="AY14" s="13">
        <f>SQRT(AX14)</f>
        <v>1.4142135623730951</v>
      </c>
      <c r="AZ14" s="13">
        <f>IF(AY14&gt;0,AY14/AY$99*1000, 0)</f>
        <v>68.32751832417047</v>
      </c>
      <c r="BA14" s="27">
        <v>212</v>
      </c>
      <c r="BB14" s="13">
        <f>SQRT(BA14)</f>
        <v>14.560219778561036</v>
      </c>
      <c r="BC14" s="13">
        <f>IF(BB14&gt;0,BB14/BB$99*1000, 0)</f>
        <v>33.742995611956971</v>
      </c>
      <c r="BD14" s="24">
        <v>0.66</v>
      </c>
      <c r="BE14" s="21">
        <f>SQRT(BD14)</f>
        <v>0.81240384046359604</v>
      </c>
      <c r="BF14" s="13">
        <f>IF(BE14&gt;0, BE14/BE$99*10000, 0)</f>
        <v>209.21639535910759</v>
      </c>
      <c r="BG14" s="27">
        <v>18</v>
      </c>
      <c r="BH14" s="13">
        <f>IF(BG14&gt;0, BG14/BG$99*2000, 0)</f>
        <v>50.06954102920723</v>
      </c>
      <c r="BI14" s="30">
        <v>0</v>
      </c>
      <c r="BJ14" s="30">
        <v>0</v>
      </c>
      <c r="BK14" s="30">
        <f>BJ14+BI14</f>
        <v>0</v>
      </c>
      <c r="BL14" s="3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</row>
    <row r="15" spans="2:90" ht="20.100000000000001" customHeight="1" x14ac:dyDescent="0.25">
      <c r="B15" s="1">
        <v>10</v>
      </c>
      <c r="C15" s="50">
        <v>11</v>
      </c>
      <c r="D15" s="51" t="str">
        <f>IF(C15&lt;B15,"▲"&amp;B15-C15,IF(C15&gt;B15,"▼"&amp;C15-B15,"—"))</f>
        <v>▼1</v>
      </c>
      <c r="E15" s="52" t="s">
        <v>13</v>
      </c>
      <c r="F15" s="53">
        <f>G15+O15+W15+AE15+BF15+BH15+BK15</f>
        <v>1407.6168690490204</v>
      </c>
      <c r="G15" s="19">
        <f>IF(COUNTIF(H15:INDEX(H15:N15,$B$1),"&gt;0")=0,0,
SUMIF(H15:INDEX(H15:N15,$B$1),"&gt;0",H15:INDEX(H15:N15,$B$1))*$B$1/COUNTIF(H15:INDEX(H15:N15,$B$1),"&gt;0")*
IF($B$1-COUNTIF(H15:INDEX(H15:N15,$B$1),"&gt;0")&lt;=2,1,
IF($B$1-COUNTIF(H15:INDEX(H15:N15,$B$1),"&gt;0")=3,0.8,
IF($B$1-COUNTIF(H15:INDEX(H15:N15,$B$1),"&gt;0")=4,0.6,
IF($B$1-COUNTIF(H15:INDEX(H15:N15,$B$1),"&gt;0")=5,0.4,
IF($B$1-COUNTIF(H15:INDEX(H15:N15,$B$1),"&gt;0")=6,0.2,0))))))</f>
        <v>747</v>
      </c>
      <c r="H15" s="3">
        <v>68</v>
      </c>
      <c r="I15" s="3">
        <v>123</v>
      </c>
      <c r="J15" s="3">
        <v>154</v>
      </c>
      <c r="K15" s="3">
        <v>128</v>
      </c>
      <c r="L15" s="3">
        <v>89</v>
      </c>
      <c r="M15" s="3">
        <v>95</v>
      </c>
      <c r="N15" s="3">
        <v>90</v>
      </c>
      <c r="O15" s="13">
        <f>0.2*IF(COUNTIF(P15:INDEX(P15:V15,$B$1),"&gt;0")=0,0,
(SUMIF(P15:INDEX(P15:V15,$B$1),"&gt;0",P15:INDEX(P15:V15,$B$1))*$B$1/COUNTIF(P15:INDEX(P15:V15,$B$1),"&gt;0"))*
IF($B$1-COUNTIF(P15:INDEX(P15:V15,$B$1),"&gt;0")&lt;=2,1,
IF($B$1-COUNTIF(P15:INDEX(P15:V15,$B$1),"&gt;0")=3,0.8,
IF($B$1-COUNTIF(P15:INDEX(P15:V15,$B$1),"&gt;0")=4,0.6,
IF($B$1-COUNTIF(P15:INDEX(P15:V15,$B$1),"&gt;0")=5,0.4,
IF($B$1-COUNTIF(P15:INDEX(P15:V15,$B$1),"&gt;0")=6,0.2,0))))))</f>
        <v>72.8</v>
      </c>
      <c r="P15" s="3">
        <v>55</v>
      </c>
      <c r="Q15" s="3">
        <v>42</v>
      </c>
      <c r="R15" s="3">
        <v>49</v>
      </c>
      <c r="S15" s="3">
        <v>58</v>
      </c>
      <c r="T15" s="3">
        <v>54</v>
      </c>
      <c r="U15" s="3">
        <v>53</v>
      </c>
      <c r="V15" s="3">
        <v>53</v>
      </c>
      <c r="W15" s="3">
        <f>MIN(100,
IF($B$1&gt;=1,IFERROR(VALUE(SUBSTITUTE(SUBSTITUTE(TRIM(X15),"A",""),"B","")),0),0)+
IF($B$1&gt;=2,IFERROR(VALUE(SUBSTITUTE(SUBSTITUTE(TRIM(Y15),"A",""),"B","")),0),0)+
IF($B$1&gt;=3,IFERROR(VALUE(SUBSTITUTE(SUBSTITUTE(TRIM(Z15),"A",""),"B","")),0),0)+
IF($B$1&gt;=4,IFERROR(VALUE(SUBSTITUTE(SUBSTITUTE(TRIM(AA15),"A",""),"B","")),0),0)+
IF($B$1&gt;=5,IFERROR(VALUE(SUBSTITUTE(SUBSTITUTE(TRIM(AB15),"A",""),"B","")),0),0)+
IF($B$1&gt;=6,IFERROR(VALUE(SUBSTITUTE(SUBSTITUTE(TRIM(AC15),"A",""),"B","")),0),0)+
IF($B$1&gt;=7,IFERROR(VALUE(SUBSTITUTE(SUBSTITUTE(TRIM(AD15),"A",""),"B","")),0),0)
)</f>
        <v>100</v>
      </c>
      <c r="X15" s="3" t="s">
        <v>14</v>
      </c>
      <c r="Y15" s="3" t="s">
        <v>14</v>
      </c>
      <c r="Z15" s="3" t="s">
        <v>14</v>
      </c>
      <c r="AA15" s="3" t="s">
        <v>118</v>
      </c>
      <c r="AB15" s="3" t="s">
        <v>118</v>
      </c>
      <c r="AC15" s="3" t="s">
        <v>156</v>
      </c>
      <c r="AD15" s="3" t="s">
        <v>180</v>
      </c>
      <c r="AE15" s="13">
        <f>AH15+AK15+AN15+AQ15+AT15+AW15+AZ15+BC15</f>
        <v>293.68482136328475</v>
      </c>
      <c r="AF15" s="13">
        <v>1.3</v>
      </c>
      <c r="AG15" s="13">
        <f>SQRT(AF15)</f>
        <v>1.1401754250991381</v>
      </c>
      <c r="AH15" s="13">
        <f>IF(AG15&gt;0,AG15/AG$99*1000, 0)</f>
        <v>30.530949661934752</v>
      </c>
      <c r="AI15" s="13">
        <v>2.4</v>
      </c>
      <c r="AJ15" s="13">
        <f>SQRT(AI15)</f>
        <v>1.5491933384829668</v>
      </c>
      <c r="AK15" s="13">
        <f>IF(AJ15&gt;0,AJ15/AJ$99*1000, 0)</f>
        <v>45.823638943300281</v>
      </c>
      <c r="AL15" s="13">
        <v>0.1</v>
      </c>
      <c r="AM15" s="13">
        <f>SQRT(AL15)</f>
        <v>0.31622776601683794</v>
      </c>
      <c r="AN15" s="13">
        <f>IF(AM15&gt;0,AM15/AM$99*1000, 0)</f>
        <v>12.802206142256285</v>
      </c>
      <c r="AO15" s="13">
        <v>0.8</v>
      </c>
      <c r="AP15" s="13">
        <f>SQRT(AO15)</f>
        <v>0.89442719099991586</v>
      </c>
      <c r="AQ15" s="13">
        <f>IF(AP15&gt;0,AP15/AP$99*1000, 0)</f>
        <v>60.732342408240591</v>
      </c>
      <c r="AR15" s="13">
        <v>0.4</v>
      </c>
      <c r="AS15" s="13">
        <f>SQRT(AR15)</f>
        <v>0.63245553203367588</v>
      </c>
      <c r="AT15" s="13">
        <f>IF(AS15&gt;0,AS15/AS$99*1000, 0)</f>
        <v>35.817989426804303</v>
      </c>
      <c r="AU15" s="13">
        <v>0.5</v>
      </c>
      <c r="AV15" s="13">
        <f>SQRT(AU15)</f>
        <v>0.70710678118654757</v>
      </c>
      <c r="AW15" s="13">
        <f>IF(AV15&gt;0,AV15/AV$99*1000, 0)</f>
        <v>31.531589142449391</v>
      </c>
      <c r="AX15" s="13">
        <v>1.2</v>
      </c>
      <c r="AY15" s="13">
        <f>SQRT(AX15)</f>
        <v>1.0954451150103321</v>
      </c>
      <c r="AZ15" s="13">
        <f>IF(AY15&gt;0,AY15/AY$99*1000, 0)</f>
        <v>52.926268111438858</v>
      </c>
      <c r="BA15" s="27">
        <v>103</v>
      </c>
      <c r="BB15" s="13">
        <f>SQRT(BA15)</f>
        <v>10.148891565092219</v>
      </c>
      <c r="BC15" s="13">
        <f>IF(BB15&gt;0,BB15/BB$99*1000, 0)</f>
        <v>23.519837526860329</v>
      </c>
      <c r="BD15" s="24">
        <v>0.78</v>
      </c>
      <c r="BE15" s="21">
        <f>SQRT(BD15)</f>
        <v>0.88317608663278468</v>
      </c>
      <c r="BF15" s="13">
        <f>IF(BE15&gt;0, BE15/BE$99*10000, 0)</f>
        <v>227.4422006759998</v>
      </c>
      <c r="BG15" s="27">
        <v>6</v>
      </c>
      <c r="BH15" s="13">
        <f>IF(BG15&gt;0, BG15/BG$99*2000, 0)</f>
        <v>16.689847009735743</v>
      </c>
      <c r="BI15" s="30">
        <v>-50</v>
      </c>
      <c r="BJ15" s="30">
        <v>0</v>
      </c>
      <c r="BK15" s="30">
        <f>BJ15+BI15</f>
        <v>-50</v>
      </c>
      <c r="BL15" s="3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</row>
    <row r="16" spans="2:90" ht="20.100000000000001" customHeight="1" x14ac:dyDescent="0.25">
      <c r="B16" s="1">
        <v>11</v>
      </c>
      <c r="C16" s="50">
        <v>12</v>
      </c>
      <c r="D16" s="51" t="str">
        <f>IF(C16&lt;B16,"▲"&amp;B16-C16,IF(C16&gt;B16,"▼"&amp;C16-B16,"—"))</f>
        <v>▼1</v>
      </c>
      <c r="E16" s="52" t="s">
        <v>24</v>
      </c>
      <c r="F16" s="53">
        <f>G16+O16+W16+AE16+BF16+BH16+BK16</f>
        <v>1372.7194795914745</v>
      </c>
      <c r="G16" s="19">
        <f>IF(COUNTIF(H16:INDEX(H16:N16,$B$1),"&gt;0")=0,0,
SUMIF(H16:INDEX(H16:N16,$B$1),"&gt;0",H16:INDEX(H16:N16,$B$1))*$B$1/COUNTIF(H16:INDEX(H16:N16,$B$1),"&gt;0")*
IF($B$1-COUNTIF(H16:INDEX(H16:N16,$B$1),"&gt;0")&lt;=2,1,
IF($B$1-COUNTIF(H16:INDEX(H16:N16,$B$1),"&gt;0")=3,0.8,
IF($B$1-COUNTIF(H16:INDEX(H16:N16,$B$1),"&gt;0")=4,0.6,
IF($B$1-COUNTIF(H16:INDEX(H16:N16,$B$1),"&gt;0")=5,0.4,
IF($B$1-COUNTIF(H16:INDEX(H16:N16,$B$1),"&gt;0")=6,0.2,0))))))</f>
        <v>546</v>
      </c>
      <c r="H16" s="3">
        <v>70</v>
      </c>
      <c r="I16" s="3">
        <v>68</v>
      </c>
      <c r="J16" s="3">
        <v>78</v>
      </c>
      <c r="K16" s="3">
        <v>108</v>
      </c>
      <c r="L16" s="3">
        <v>64</v>
      </c>
      <c r="M16" s="3">
        <v>88</v>
      </c>
      <c r="N16" s="3">
        <v>70</v>
      </c>
      <c r="O16" s="13">
        <f>0.2*IF(COUNTIF(P16:INDEX(P16:V16,$B$1),"&gt;0")=0,0,
(SUMIF(P16:INDEX(P16:V16,$B$1),"&gt;0",P16:INDEX(P16:V16,$B$1))*$B$1/COUNTIF(P16:INDEX(P16:V16,$B$1),"&gt;0"))*
IF($B$1-COUNTIF(P16:INDEX(P16:V16,$B$1),"&gt;0")&lt;=2,1,
IF($B$1-COUNTIF(P16:INDEX(P16:V16,$B$1),"&gt;0")=3,0.8,
IF($B$1-COUNTIF(P16:INDEX(P16:V16,$B$1),"&gt;0")=4,0.6,
IF($B$1-COUNTIF(P16:INDEX(P16:V16,$B$1),"&gt;0")=5,0.4,
IF($B$1-COUNTIF(P16:INDEX(P16:V16,$B$1),"&gt;0")=6,0.2,0))))))</f>
        <v>65.2</v>
      </c>
      <c r="P16" s="3">
        <v>45</v>
      </c>
      <c r="Q16" s="3">
        <v>40</v>
      </c>
      <c r="R16" s="3">
        <v>47</v>
      </c>
      <c r="S16" s="3">
        <v>48</v>
      </c>
      <c r="T16" s="3">
        <v>49</v>
      </c>
      <c r="U16" s="3">
        <v>48</v>
      </c>
      <c r="V16" s="3">
        <v>49</v>
      </c>
      <c r="W16" s="3">
        <f>MIN(100,
IF($B$1&gt;=1,IFERROR(VALUE(SUBSTITUTE(SUBSTITUTE(TRIM(X16),"A",""),"B","")),0),0)+
IF($B$1&gt;=2,IFERROR(VALUE(SUBSTITUTE(SUBSTITUTE(TRIM(Y16),"A",""),"B","")),0),0)+
IF($B$1&gt;=3,IFERROR(VALUE(SUBSTITUTE(SUBSTITUTE(TRIM(Z16),"A",""),"B","")),0),0)+
IF($B$1&gt;=4,IFERROR(VALUE(SUBSTITUTE(SUBSTITUTE(TRIM(AA16),"A",""),"B","")),0),0)+
IF($B$1&gt;=5,IFERROR(VALUE(SUBSTITUTE(SUBSTITUTE(TRIM(AB16),"A",""),"B","")),0),0)+
IF($B$1&gt;=6,IFERROR(VALUE(SUBSTITUTE(SUBSTITUTE(TRIM(AC16),"A",""),"B","")),0),0)+
IF($B$1&gt;=7,IFERROR(VALUE(SUBSTITUTE(SUBSTITUTE(TRIM(AD16),"A",""),"B","")),0),0)
)</f>
        <v>100</v>
      </c>
      <c r="X16" s="3" t="s">
        <v>16</v>
      </c>
      <c r="Y16" s="3" t="s">
        <v>16</v>
      </c>
      <c r="Z16" s="3" t="s">
        <v>16</v>
      </c>
      <c r="AA16" s="3" t="s">
        <v>120</v>
      </c>
      <c r="AB16" s="3" t="s">
        <v>120</v>
      </c>
      <c r="AC16" s="3" t="s">
        <v>156</v>
      </c>
      <c r="AD16" s="3" t="s">
        <v>179</v>
      </c>
      <c r="AE16" s="13">
        <f>AH16+AK16+AN16+AQ16+AT16+AW16+AZ16+BC16</f>
        <v>312.22992951468115</v>
      </c>
      <c r="AF16" s="13">
        <v>1.8</v>
      </c>
      <c r="AG16" s="13">
        <f>SQRT(AF16)</f>
        <v>1.3416407864998738</v>
      </c>
      <c r="AH16" s="13">
        <f>IF(AG16&gt;0,AG16/AG$99*1000, 0)</f>
        <v>35.925671098782537</v>
      </c>
      <c r="AI16" s="13"/>
      <c r="AJ16" s="13">
        <f>SQRT(AI16)</f>
        <v>0</v>
      </c>
      <c r="AK16" s="13">
        <f>IF(AJ16&gt;0,AJ16/AJ$99*1000, 0)</f>
        <v>0</v>
      </c>
      <c r="AL16" s="13">
        <v>1.5</v>
      </c>
      <c r="AM16" s="13">
        <f>SQRT(AL16)</f>
        <v>1.2247448713915889</v>
      </c>
      <c r="AN16" s="13">
        <f>IF(AM16&gt;0,AM16/AM$99*1000, 0)</f>
        <v>49.582731183672884</v>
      </c>
      <c r="AO16" s="13">
        <v>0.9</v>
      </c>
      <c r="AP16" s="13">
        <f>SQRT(AO16)</f>
        <v>0.94868329805051377</v>
      </c>
      <c r="AQ16" s="13">
        <f>IF(AP16&gt;0,AP16/AP$99*1000, 0)</f>
        <v>64.416376731315381</v>
      </c>
      <c r="AR16" s="13">
        <v>0.4</v>
      </c>
      <c r="AS16" s="13">
        <f>SQRT(AR16)</f>
        <v>0.63245553203367588</v>
      </c>
      <c r="AT16" s="13">
        <f>IF(AS16&gt;0,AS16/AS$99*1000, 0)</f>
        <v>35.817989426804303</v>
      </c>
      <c r="AU16" s="13">
        <v>0.6</v>
      </c>
      <c r="AV16" s="13">
        <f>SQRT(AU16)</f>
        <v>0.7745966692414834</v>
      </c>
      <c r="AW16" s="13">
        <f>IF(AV16&gt;0,AV16/AV$99*1000, 0)</f>
        <v>34.541125294609017</v>
      </c>
      <c r="AX16" s="13">
        <v>1.6</v>
      </c>
      <c r="AY16" s="13">
        <f>SQRT(AX16)</f>
        <v>1.2649110640673518</v>
      </c>
      <c r="AZ16" s="13">
        <f>IF(AY16&gt;0,AY16/AY$99*1000, 0)</f>
        <v>61.113990282683069</v>
      </c>
      <c r="BA16" s="27">
        <v>177</v>
      </c>
      <c r="BB16" s="13">
        <f>SQRT(BA16)</f>
        <v>13.30413469565007</v>
      </c>
      <c r="BC16" s="13">
        <f>IF(BB16&gt;0,BB16/BB$99*1000, 0)</f>
        <v>30.83204549681399</v>
      </c>
      <c r="BD16" s="24">
        <v>1.35</v>
      </c>
      <c r="BE16" s="21">
        <f>SQRT(BD16)</f>
        <v>1.1618950038622251</v>
      </c>
      <c r="BF16" s="13">
        <f>IF(BE16&gt;0, BE16/BE$99*10000, 0)</f>
        <v>299.22000904758636</v>
      </c>
      <c r="BG16" s="27">
        <v>18</v>
      </c>
      <c r="BH16" s="13">
        <f>IF(BG16&gt;0, BG16/BG$99*2000, 0)</f>
        <v>50.06954102920723</v>
      </c>
      <c r="BI16" s="30">
        <v>0</v>
      </c>
      <c r="BJ16" s="30">
        <v>0</v>
      </c>
      <c r="BK16" s="30">
        <f>BJ16+BI16</f>
        <v>0</v>
      </c>
      <c r="BL16" s="3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</row>
    <row r="17" spans="1:90" ht="20.100000000000001" customHeight="1" x14ac:dyDescent="0.25">
      <c r="B17" s="1">
        <v>13</v>
      </c>
      <c r="C17" s="50">
        <v>13</v>
      </c>
      <c r="D17" s="51" t="str">
        <f>IF(C17&lt;B17,"▲"&amp;B17-C17,IF(C17&gt;B17,"▼"&amp;C17-B17,"—"))</f>
        <v>—</v>
      </c>
      <c r="E17" s="52" t="s">
        <v>29</v>
      </c>
      <c r="F17" s="53">
        <f>G17+O17+W17+AE17+BF17+BH17+BK17</f>
        <v>1274.6137708188865</v>
      </c>
      <c r="G17" s="19">
        <f>IF(COUNTIF(H17:INDEX(H17:N17,$B$1),"&gt;0")=0,0,
SUMIF(H17:INDEX(H17:N17,$B$1),"&gt;0",H17:INDEX(H17:N17,$B$1))*$B$1/COUNTIF(H17:INDEX(H17:N17,$B$1),"&gt;0")*
IF($B$1-COUNTIF(H17:INDEX(H17:N17,$B$1),"&gt;0")&lt;=2,1,
IF($B$1-COUNTIF(H17:INDEX(H17:N17,$B$1),"&gt;0")=3,0.8,
IF($B$1-COUNTIF(H17:INDEX(H17:N17,$B$1),"&gt;0")=4,0.6,
IF($B$1-COUNTIF(H17:INDEX(H17:N17,$B$1),"&gt;0")=5,0.4,
IF($B$1-COUNTIF(H17:INDEX(H17:N17,$B$1),"&gt;0")=6,0.2,0))))))</f>
        <v>456</v>
      </c>
      <c r="H17" s="3">
        <v>69</v>
      </c>
      <c r="I17" s="3">
        <v>63</v>
      </c>
      <c r="J17" s="3">
        <v>64</v>
      </c>
      <c r="K17" s="3">
        <v>86</v>
      </c>
      <c r="L17" s="3">
        <v>61</v>
      </c>
      <c r="M17" s="3">
        <v>49</v>
      </c>
      <c r="N17" s="3">
        <v>64</v>
      </c>
      <c r="O17" s="13">
        <f>0.2*IF(COUNTIF(P17:INDEX(P17:V17,$B$1),"&gt;0")=0,0,
(SUMIF(P17:INDEX(P17:V17,$B$1),"&gt;0",P17:INDEX(P17:V17,$B$1))*$B$1/COUNTIF(P17:INDEX(P17:V17,$B$1),"&gt;0"))*
IF($B$1-COUNTIF(P17:INDEX(P17:V17,$B$1),"&gt;0")&lt;=2,1,
IF($B$1-COUNTIF(P17:INDEX(P17:V17,$B$1),"&gt;0")=3,0.8,
IF($B$1-COUNTIF(P17:INDEX(P17:V17,$B$1),"&gt;0")=4,0.6,
IF($B$1-COUNTIF(P17:INDEX(P17:V17,$B$1),"&gt;0")=5,0.4,
IF($B$1-COUNTIF(P17:INDEX(P17:V17,$B$1),"&gt;0")=6,0.2,0))))))</f>
        <v>63.400000000000006</v>
      </c>
      <c r="P17" s="3">
        <v>47</v>
      </c>
      <c r="Q17" s="3">
        <v>39</v>
      </c>
      <c r="R17" s="3">
        <v>48</v>
      </c>
      <c r="S17" s="3">
        <v>45</v>
      </c>
      <c r="T17" s="3">
        <v>46</v>
      </c>
      <c r="U17" s="3">
        <v>49</v>
      </c>
      <c r="V17" s="3">
        <v>43</v>
      </c>
      <c r="W17" s="3">
        <f>MIN(100,
IF($B$1&gt;=1,IFERROR(VALUE(SUBSTITUTE(SUBSTITUTE(TRIM(X17),"A",""),"B","")),0),0)+
IF($B$1&gt;=2,IFERROR(VALUE(SUBSTITUTE(SUBSTITUTE(TRIM(Y17),"A",""),"B","")),0),0)+
IF($B$1&gt;=3,IFERROR(VALUE(SUBSTITUTE(SUBSTITUTE(TRIM(Z17),"A",""),"B","")),0),0)+
IF($B$1&gt;=4,IFERROR(VALUE(SUBSTITUTE(SUBSTITUTE(TRIM(AA17),"A",""),"B","")),0),0)+
IF($B$1&gt;=5,IFERROR(VALUE(SUBSTITUTE(SUBSTITUTE(TRIM(AB17),"A",""),"B","")),0),0)+
IF($B$1&gt;=6,IFERROR(VALUE(SUBSTITUTE(SUBSTITUTE(TRIM(AC17),"A",""),"B","")),0),0)+
IF($B$1&gt;=7,IFERROR(VALUE(SUBSTITUTE(SUBSTITUTE(TRIM(AD17),"A",""),"B","")),0),0)
)</f>
        <v>100</v>
      </c>
      <c r="X17" s="3" t="s">
        <v>14</v>
      </c>
      <c r="Y17" s="3" t="s">
        <v>14</v>
      </c>
      <c r="Z17" s="3" t="s">
        <v>14</v>
      </c>
      <c r="AA17" s="3" t="s">
        <v>118</v>
      </c>
      <c r="AB17" s="3" t="s">
        <v>118</v>
      </c>
      <c r="AC17" s="3" t="s">
        <v>156</v>
      </c>
      <c r="AD17" s="3" t="s">
        <v>180</v>
      </c>
      <c r="AE17" s="13">
        <f>AH17+AK17+AN17+AQ17+AT17+AW17+AZ17+BC17</f>
        <v>293.17876679261553</v>
      </c>
      <c r="AF17" s="13">
        <v>2.7</v>
      </c>
      <c r="AG17" s="13">
        <f>SQRT(AF17)</f>
        <v>1.6431676725154984</v>
      </c>
      <c r="AH17" s="13">
        <f>IF(AG17&gt;0,AG17/AG$99*1000, 0)</f>
        <v>43.999781429534941</v>
      </c>
      <c r="AI17" s="13">
        <v>2.5</v>
      </c>
      <c r="AJ17" s="13">
        <f>SQRT(AI17)</f>
        <v>1.5811388300841898</v>
      </c>
      <c r="AK17" s="13">
        <f>IF(AJ17&gt;0,AJ17/AJ$99*1000, 0)</f>
        <v>46.768555653589097</v>
      </c>
      <c r="AL17" s="13">
        <v>1.6</v>
      </c>
      <c r="AM17" s="13">
        <f>SQRT(AL17)</f>
        <v>1.2649110640673518</v>
      </c>
      <c r="AN17" s="13">
        <f>IF(AM17&gt;0,AM17/AM$99*1000, 0)</f>
        <v>51.20882456902514</v>
      </c>
      <c r="AP17" s="13">
        <f>SQRT(AO17)</f>
        <v>0</v>
      </c>
      <c r="AQ17" s="13">
        <f>IF(AP17&gt;0,AP17/AP$99*1000, 0)</f>
        <v>0</v>
      </c>
      <c r="AR17" s="13">
        <v>0.9</v>
      </c>
      <c r="AS17" s="13">
        <f>SQRT(AR17)</f>
        <v>0.94868329805051377</v>
      </c>
      <c r="AT17" s="13">
        <f>IF(AS17&gt;0,AS17/AS$99*1000, 0)</f>
        <v>53.726984140206447</v>
      </c>
      <c r="AU17" s="13">
        <v>0.5</v>
      </c>
      <c r="AV17" s="13">
        <f>SQRT(AU17)</f>
        <v>0.70710678118654757</v>
      </c>
      <c r="AW17" s="13">
        <f>IF(AV17&gt;0,AV17/AV$99*1000, 0)</f>
        <v>31.531589142449391</v>
      </c>
      <c r="AX17" s="13">
        <v>0.2</v>
      </c>
      <c r="AY17" s="13">
        <f>SQRT(AX17)</f>
        <v>0.44721359549995793</v>
      </c>
      <c r="AZ17" s="13">
        <f>IF(AY17&gt;0,AY17/AY$99*1000, 0)</f>
        <v>21.607058477126984</v>
      </c>
      <c r="BA17" s="27">
        <v>366</v>
      </c>
      <c r="BB17" s="13">
        <f>SQRT(BA17)</f>
        <v>19.131126469708992</v>
      </c>
      <c r="BC17" s="13">
        <f>IF(BB17&gt;0,BB17/BB$99*1000, 0)</f>
        <v>44.335973380683555</v>
      </c>
      <c r="BD17" s="24">
        <v>1.39</v>
      </c>
      <c r="BE17" s="21">
        <f>SQRT(BD17)</f>
        <v>1.1789826122551597</v>
      </c>
      <c r="BF17" s="13">
        <f>IF(BE17&gt;0, BE17/BE$99*10000, 0)</f>
        <v>303.62053949219597</v>
      </c>
      <c r="BG17" s="27">
        <v>21</v>
      </c>
      <c r="BH17" s="13">
        <f>IF(BG17&gt;0, BG17/BG$99*2000, 0)</f>
        <v>58.414464534075101</v>
      </c>
      <c r="BI17" s="30">
        <v>0</v>
      </c>
      <c r="BJ17" s="30">
        <v>0</v>
      </c>
      <c r="BK17" s="30">
        <f>BJ17+BI17</f>
        <v>0</v>
      </c>
      <c r="BL17" s="3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</row>
    <row r="18" spans="1:90" ht="20.100000000000001" customHeight="1" x14ac:dyDescent="0.25">
      <c r="B18" s="1">
        <v>14</v>
      </c>
      <c r="C18" s="50">
        <v>14</v>
      </c>
      <c r="D18" s="51" t="str">
        <f>IF(C18&lt;B18,"▲"&amp;B18-C18,IF(C18&gt;B18,"▼"&amp;C18-B18,"—"))</f>
        <v>—</v>
      </c>
      <c r="E18" s="52" t="s">
        <v>19</v>
      </c>
      <c r="F18" s="53">
        <f>G18+O18+W18+AE18+BF18+BH18+BK18</f>
        <v>1258.4693377295789</v>
      </c>
      <c r="G18" s="19">
        <f>IF(COUNTIF(H18:INDEX(H18:N18,$B$1),"&gt;0")=0,0,
SUMIF(H18:INDEX(H18:N18,$B$1),"&gt;0",H18:INDEX(H18:N18,$B$1))*$B$1/COUNTIF(H18:INDEX(H18:N18,$B$1),"&gt;0")*
IF($B$1-COUNTIF(H18:INDEX(H18:N18,$B$1),"&gt;0")&lt;=2,1,
IF($B$1-COUNTIF(H18:INDEX(H18:N18,$B$1),"&gt;0")=3,0.8,
IF($B$1-COUNTIF(H18:INDEX(H18:N18,$B$1),"&gt;0")=4,0.6,
IF($B$1-COUNTIF(H18:INDEX(H18:N18,$B$1),"&gt;0")=5,0.4,
IF($B$1-COUNTIF(H18:INDEX(H18:N18,$B$1),"&gt;0")=6,0.2,0))))))</f>
        <v>577</v>
      </c>
      <c r="H18" s="3">
        <v>94</v>
      </c>
      <c r="I18" s="3">
        <v>63</v>
      </c>
      <c r="J18" s="3">
        <v>73</v>
      </c>
      <c r="K18" s="3">
        <v>115</v>
      </c>
      <c r="L18" s="3">
        <v>79</v>
      </c>
      <c r="M18" s="3">
        <v>76</v>
      </c>
      <c r="N18" s="3">
        <v>77</v>
      </c>
      <c r="O18" s="13">
        <f>0.2*IF(COUNTIF(P18:INDEX(P18:V18,$B$1),"&gt;0")=0,0,
(SUMIF(P18:INDEX(P18:V18,$B$1),"&gt;0",P18:INDEX(P18:V18,$B$1))*$B$1/COUNTIF(P18:INDEX(P18:V18,$B$1),"&gt;0"))*
IF($B$1-COUNTIF(P18:INDEX(P18:V18,$B$1),"&gt;0")&lt;=2,1,
IF($B$1-COUNTIF(P18:INDEX(P18:V18,$B$1),"&gt;0")=3,0.8,
IF($B$1-COUNTIF(P18:INDEX(P18:V18,$B$1),"&gt;0")=4,0.6,
IF($B$1-COUNTIF(P18:INDEX(P18:V18,$B$1),"&gt;0")=5,0.4,
IF($B$1-COUNTIF(P18:INDEX(P18:V18,$B$1),"&gt;0")=6,0.2,0))))))</f>
        <v>85.2</v>
      </c>
      <c r="P18" s="3">
        <v>58</v>
      </c>
      <c r="Q18" s="3">
        <v>53</v>
      </c>
      <c r="R18" s="3">
        <v>65</v>
      </c>
      <c r="S18" s="3">
        <v>64</v>
      </c>
      <c r="T18" s="3">
        <v>65</v>
      </c>
      <c r="U18" s="3">
        <v>60</v>
      </c>
      <c r="V18" s="3">
        <v>61</v>
      </c>
      <c r="W18" s="3">
        <f>MIN(100,
IF($B$1&gt;=1,IFERROR(VALUE(SUBSTITUTE(SUBSTITUTE(TRIM(X18),"A",""),"B","")),0),0)+
IF($B$1&gt;=2,IFERROR(VALUE(SUBSTITUTE(SUBSTITUTE(TRIM(Y18),"A",""),"B","")),0),0)+
IF($B$1&gt;=3,IFERROR(VALUE(SUBSTITUTE(SUBSTITUTE(TRIM(Z18),"A",""),"B","")),0),0)+
IF($B$1&gt;=4,IFERROR(VALUE(SUBSTITUTE(SUBSTITUTE(TRIM(AA18),"A",""),"B","")),0),0)+
IF($B$1&gt;=5,IFERROR(VALUE(SUBSTITUTE(SUBSTITUTE(TRIM(AB18),"A",""),"B","")),0),0)+
IF($B$1&gt;=6,IFERROR(VALUE(SUBSTITUTE(SUBSTITUTE(TRIM(AC18),"A",""),"B","")),0),0)+
IF($B$1&gt;=7,IFERROR(VALUE(SUBSTITUTE(SUBSTITUTE(TRIM(AD18),"A",""),"B","")),0),0)
)</f>
        <v>100</v>
      </c>
      <c r="X18" s="3" t="s">
        <v>14</v>
      </c>
      <c r="Y18" s="3" t="s">
        <v>14</v>
      </c>
      <c r="Z18" s="3" t="s">
        <v>14</v>
      </c>
      <c r="AA18" s="3" t="s">
        <v>118</v>
      </c>
      <c r="AB18" s="3" t="s">
        <v>118</v>
      </c>
      <c r="AC18" s="3" t="s">
        <v>156</v>
      </c>
      <c r="AD18" s="3" t="s">
        <v>180</v>
      </c>
      <c r="AE18" s="13">
        <f>AH18+AK18+AN18+AQ18+AT18+AW18+AZ18+BC18</f>
        <v>262.8973019042819</v>
      </c>
      <c r="AF18" s="13">
        <v>1.5</v>
      </c>
      <c r="AG18" s="13">
        <f>SQRT(AF18)</f>
        <v>1.2247448713915889</v>
      </c>
      <c r="AH18" s="13">
        <f>IF(AG18&gt;0,AG18/AG$99*1000, 0)</f>
        <v>32.795500757191</v>
      </c>
      <c r="AI18" s="13">
        <v>0.8</v>
      </c>
      <c r="AJ18" s="13">
        <f>SQRT(AI18)</f>
        <v>0.89442719099991586</v>
      </c>
      <c r="AK18" s="13">
        <f>IF(AJ18&gt;0,AJ18/AJ$99*1000, 0)</f>
        <v>26.456290279162634</v>
      </c>
      <c r="AL18" s="13">
        <v>1.3</v>
      </c>
      <c r="AM18" s="13">
        <f>SQRT(AL18)</f>
        <v>1.1401754250991381</v>
      </c>
      <c r="AN18" s="13">
        <f>IF(AM18&gt;0,AM18/AM$99*1000, 0)</f>
        <v>46.159010684965068</v>
      </c>
      <c r="AO18" s="13">
        <v>0.7</v>
      </c>
      <c r="AP18" s="13">
        <f>SQRT(AO18)</f>
        <v>0.83666002653407556</v>
      </c>
      <c r="AQ18" s="13">
        <f>IF(AP18&gt;0,AP18/AP$99*1000, 0)</f>
        <v>56.809904396969422</v>
      </c>
      <c r="AR18" s="13">
        <v>0.4</v>
      </c>
      <c r="AS18" s="13">
        <f>SQRT(AR18)</f>
        <v>0.63245553203367588</v>
      </c>
      <c r="AT18" s="13">
        <f>IF(AS18&gt;0,AS18/AS$99*1000, 0)</f>
        <v>35.817989426804303</v>
      </c>
      <c r="AU18" s="13">
        <v>0.3</v>
      </c>
      <c r="AV18" s="13">
        <f>SQRT(AU18)</f>
        <v>0.54772255750516607</v>
      </c>
      <c r="AW18" s="13">
        <f>IF(AV18&gt;0,AV18/AV$99*1000, 0)</f>
        <v>24.424263925632218</v>
      </c>
      <c r="AX18" s="13">
        <v>0.2</v>
      </c>
      <c r="AY18" s="13">
        <f>SQRT(AX18)</f>
        <v>0.44721359549995793</v>
      </c>
      <c r="AZ18" s="13">
        <f>IF(AY18&gt;0,AY18/AY$99*1000, 0)</f>
        <v>21.607058477126984</v>
      </c>
      <c r="BA18" s="27">
        <v>66</v>
      </c>
      <c r="BB18" s="13">
        <f>SQRT(BA18)</f>
        <v>8.1240384046359608</v>
      </c>
      <c r="BC18" s="13">
        <f>IF(BB18&gt;0,BB18/BB$99*1000, 0)</f>
        <v>18.827283956430286</v>
      </c>
      <c r="BD18" s="24">
        <v>0.56999999999999995</v>
      </c>
      <c r="BE18" s="21">
        <f>SQRT(BD18)</f>
        <v>0.75498344352707492</v>
      </c>
      <c r="BF18" s="13">
        <f>IF(BE18&gt;0, BE18/BE$99*10000, 0)</f>
        <v>194.42905946924677</v>
      </c>
      <c r="BG18" s="27">
        <v>14</v>
      </c>
      <c r="BH18" s="13">
        <f>IF(BG18&gt;0, BG18/BG$99*2000, 0)</f>
        <v>38.942976356050067</v>
      </c>
      <c r="BI18" s="30">
        <v>0</v>
      </c>
      <c r="BJ18" s="30">
        <v>0</v>
      </c>
      <c r="BK18" s="30">
        <f>BJ18+BI18</f>
        <v>0</v>
      </c>
      <c r="BL18" s="3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</row>
    <row r="19" spans="1:90" ht="20.100000000000001" customHeight="1" x14ac:dyDescent="0.25">
      <c r="B19" s="1">
        <v>15</v>
      </c>
      <c r="C19" s="50">
        <v>15</v>
      </c>
      <c r="D19" s="51" t="str">
        <f>IF(C19&lt;B19,"▲"&amp;B19-C19,IF(C19&gt;B19,"▼"&amp;C19-B19,"—"))</f>
        <v>—</v>
      </c>
      <c r="E19" s="52" t="s">
        <v>32</v>
      </c>
      <c r="F19" s="53">
        <f>G19+O19+W19+AE19+BF19+BH19+BK19</f>
        <v>1101.5495514176068</v>
      </c>
      <c r="G19" s="19">
        <f>IF(COUNTIF(H19:INDEX(H19:N19,$B$1),"&gt;0")=0,0,
SUMIF(H19:INDEX(H19:N19,$B$1),"&gt;0",H19:INDEX(H19:N19,$B$1))*$B$1/COUNTIF(H19:INDEX(H19:N19,$B$1),"&gt;0")*
IF($B$1-COUNTIF(H19:INDEX(H19:N19,$B$1),"&gt;0")&lt;=2,1,
IF($B$1-COUNTIF(H19:INDEX(H19:N19,$B$1),"&gt;0")=3,0.8,
IF($B$1-COUNTIF(H19:INDEX(H19:N19,$B$1),"&gt;0")=4,0.6,
IF($B$1-COUNTIF(H19:INDEX(H19:N19,$B$1),"&gt;0")=5,0.4,
IF($B$1-COUNTIF(H19:INDEX(H19:N19,$B$1),"&gt;0")=6,0.2,0))))))</f>
        <v>601</v>
      </c>
      <c r="H19" s="3">
        <v>65</v>
      </c>
      <c r="I19" s="3">
        <v>63</v>
      </c>
      <c r="J19" s="3">
        <v>117</v>
      </c>
      <c r="K19" s="3">
        <v>135</v>
      </c>
      <c r="L19" s="3">
        <v>86</v>
      </c>
      <c r="M19" s="3">
        <v>93</v>
      </c>
      <c r="N19" s="3">
        <v>42</v>
      </c>
      <c r="O19" s="13">
        <f>0.2*IF(COUNTIF(P19:INDEX(P19:V19,$B$1),"&gt;0")=0,0,
(SUMIF(P19:INDEX(P19:V19,$B$1),"&gt;0",P19:INDEX(P19:V19,$B$1))*$B$1/COUNTIF(P19:INDEX(P19:V19,$B$1),"&gt;0"))*
IF($B$1-COUNTIF(P19:INDEX(P19:V19,$B$1),"&gt;0")&lt;=2,1,
IF($B$1-COUNTIF(P19:INDEX(P19:V19,$B$1),"&gt;0")=3,0.8,
IF($B$1-COUNTIF(P19:INDEX(P19:V19,$B$1),"&gt;0")=4,0.6,
IF($B$1-COUNTIF(P19:INDEX(P19:V19,$B$1),"&gt;0")=5,0.4,
IF($B$1-COUNTIF(P19:INDEX(P19:V19,$B$1),"&gt;0")=6,0.2,0))))))</f>
        <v>63.6</v>
      </c>
      <c r="P19" s="3">
        <v>52</v>
      </c>
      <c r="Q19" s="3">
        <v>47</v>
      </c>
      <c r="R19" s="3">
        <v>51</v>
      </c>
      <c r="S19" s="3">
        <v>56</v>
      </c>
      <c r="T19" s="3">
        <v>48</v>
      </c>
      <c r="U19" s="3">
        <v>40</v>
      </c>
      <c r="V19" s="3">
        <v>24</v>
      </c>
      <c r="W19" s="3">
        <f>MIN(100,
IF($B$1&gt;=1,IFERROR(VALUE(SUBSTITUTE(SUBSTITUTE(TRIM(X19),"A",""),"B","")),0),0)+
IF($B$1&gt;=2,IFERROR(VALUE(SUBSTITUTE(SUBSTITUTE(TRIM(Y19),"A",""),"B","")),0),0)+
IF($B$1&gt;=3,IFERROR(VALUE(SUBSTITUTE(SUBSTITUTE(TRIM(Z19),"A",""),"B","")),0),0)+
IF($B$1&gt;=4,IFERROR(VALUE(SUBSTITUTE(SUBSTITUTE(TRIM(AA19),"A",""),"B","")),0),0)+
IF($B$1&gt;=5,IFERROR(VALUE(SUBSTITUTE(SUBSTITUTE(TRIM(AB19),"A",""),"B","")),0),0)+
IF($B$1&gt;=6,IFERROR(VALUE(SUBSTITUTE(SUBSTITUTE(TRIM(AC19),"A",""),"B","")),0),0)+
IF($B$1&gt;=7,IFERROR(VALUE(SUBSTITUTE(SUBSTITUTE(TRIM(AD19),"A",""),"B","")),0),0)
)</f>
        <v>60</v>
      </c>
      <c r="X19" s="3"/>
      <c r="AA19" s="3" t="s">
        <v>120</v>
      </c>
      <c r="AB19" s="3" t="s">
        <v>120</v>
      </c>
      <c r="AC19" s="3" t="s">
        <v>156</v>
      </c>
      <c r="AE19" s="13">
        <f>AH19+AK19+AN19+AQ19+AT19+AW19+AZ19+BC19</f>
        <v>181.72331966285819</v>
      </c>
      <c r="AF19" s="13">
        <v>5.5</v>
      </c>
      <c r="AG19" s="13">
        <f>SQRT(AF19)</f>
        <v>2.3452078799117149</v>
      </c>
      <c r="AH19" s="13">
        <f>IF(AG19&gt;0,AG19/AG$99*1000, 0)</f>
        <v>62.798602874756362</v>
      </c>
      <c r="AI19" s="13"/>
      <c r="AJ19" s="13">
        <f>SQRT(AI19)</f>
        <v>0</v>
      </c>
      <c r="AK19" s="13">
        <f>IF(AJ19&gt;0,AJ19/AJ$99*1000, 0)</f>
        <v>0</v>
      </c>
      <c r="AL19" s="13">
        <v>1.1000000000000001</v>
      </c>
      <c r="AM19" s="13">
        <f>SQRT(AL19)</f>
        <v>1.0488088481701516</v>
      </c>
      <c r="AN19" s="13">
        <f>IF(AM19&gt;0,AM19/AM$99*1000, 0)</f>
        <v>42.460114262647366</v>
      </c>
      <c r="AP19" s="13">
        <f>SQRT(AO19)</f>
        <v>0</v>
      </c>
      <c r="AQ19" s="13">
        <f>IF(AP19&gt;0,AP19/AP$99*1000, 0)</f>
        <v>0</v>
      </c>
      <c r="AR19" s="13">
        <v>0.4</v>
      </c>
      <c r="AS19" s="13">
        <f>SQRT(AR19)</f>
        <v>0.63245553203367588</v>
      </c>
      <c r="AT19" s="13">
        <f>IF(AS19&gt;0,AS19/AS$99*1000, 0)</f>
        <v>35.817989426804303</v>
      </c>
      <c r="AU19" s="13">
        <v>0.3</v>
      </c>
      <c r="AV19" s="13">
        <f>SQRT(AU19)</f>
        <v>0.54772255750516607</v>
      </c>
      <c r="AW19" s="13">
        <f>IF(AV19&gt;0,AV19/AV$99*1000, 0)</f>
        <v>24.424263925632218</v>
      </c>
      <c r="AY19" s="13">
        <f>SQRT(AX19)</f>
        <v>0</v>
      </c>
      <c r="AZ19" s="13">
        <f>IF(AY19&gt;0,AY19/AY$99*1000, 0)</f>
        <v>0</v>
      </c>
      <c r="BA19" s="27">
        <v>49</v>
      </c>
      <c r="BB19" s="13">
        <f>SQRT(BA19)</f>
        <v>7</v>
      </c>
      <c r="BC19" s="13">
        <f>IF(BB19&gt;0,BB19/BB$99*1000, 0)</f>
        <v>16.222349173017921</v>
      </c>
      <c r="BD19" s="24">
        <v>0.33</v>
      </c>
      <c r="BE19" s="21">
        <f>SQRT(BD19)</f>
        <v>0.57445626465380284</v>
      </c>
      <c r="BF19" s="13">
        <f>IF(BE19&gt;0, BE19/BE$99*10000, 0)</f>
        <v>147.93833189383068</v>
      </c>
      <c r="BG19" s="27">
        <v>17</v>
      </c>
      <c r="BH19" s="13">
        <f>IF(BG19&gt;0, BG19/BG$99*2000, 0)</f>
        <v>47.287899860917939</v>
      </c>
      <c r="BI19" s="30">
        <v>0</v>
      </c>
      <c r="BJ19" s="30">
        <v>0</v>
      </c>
      <c r="BK19" s="30">
        <f>BJ19+BI19</f>
        <v>0</v>
      </c>
      <c r="BL19" s="3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</row>
    <row r="20" spans="1:90" ht="20.100000000000001" customHeight="1" x14ac:dyDescent="0.25">
      <c r="B20" s="1">
        <v>16</v>
      </c>
      <c r="C20" s="50">
        <v>16</v>
      </c>
      <c r="D20" s="51" t="str">
        <f>IF(C20&lt;B20,"▲"&amp;B20-C20,IF(C20&gt;B20,"▼"&amp;C20-B20,"—"))</f>
        <v>—</v>
      </c>
      <c r="E20" s="52" t="s">
        <v>36</v>
      </c>
      <c r="F20" s="53">
        <f>G20+O20+W20+AE20+BF20+BH20+BK20</f>
        <v>996.44844148751747</v>
      </c>
      <c r="G20" s="19">
        <f>IF(COUNTIF(H20:INDEX(H20:N20,$B$1),"&gt;0")=0,0,
SUMIF(H20:INDEX(H20:N20,$B$1),"&gt;0",H20:INDEX(H20:N20,$B$1))*$B$1/COUNTIF(H20:INDEX(H20:N20,$B$1),"&gt;0")*
IF($B$1-COUNTIF(H20:INDEX(H20:N20,$B$1),"&gt;0")&lt;=2,1,
IF($B$1-COUNTIF(H20:INDEX(H20:N20,$B$1),"&gt;0")=3,0.8,
IF($B$1-COUNTIF(H20:INDEX(H20:N20,$B$1),"&gt;0")=4,0.6,
IF($B$1-COUNTIF(H20:INDEX(H20:N20,$B$1),"&gt;0")=5,0.4,
IF($B$1-COUNTIF(H20:INDEX(H20:N20,$B$1),"&gt;0")=6,0.2,0))))))</f>
        <v>536</v>
      </c>
      <c r="H20" s="3">
        <v>58</v>
      </c>
      <c r="I20" s="3">
        <v>70</v>
      </c>
      <c r="J20" s="3">
        <v>49</v>
      </c>
      <c r="K20" s="3">
        <v>148</v>
      </c>
      <c r="L20" s="3">
        <v>76</v>
      </c>
      <c r="M20" s="3">
        <v>62</v>
      </c>
      <c r="N20" s="3">
        <v>73</v>
      </c>
      <c r="O20" s="13">
        <f>0.2*IF(COUNTIF(P20:INDEX(P20:V20,$B$1),"&gt;0")=0,0,
(SUMIF(P20:INDEX(P20:V20,$B$1),"&gt;0",P20:INDEX(P20:V20,$B$1))*$B$1/COUNTIF(P20:INDEX(P20:V20,$B$1),"&gt;0"))*
IF($B$1-COUNTIF(P20:INDEX(P20:V20,$B$1),"&gt;0")&lt;=2,1,
IF($B$1-COUNTIF(P20:INDEX(P20:V20,$B$1),"&gt;0")=3,0.8,
IF($B$1-COUNTIF(P20:INDEX(P20:V20,$B$1),"&gt;0")=4,0.6,
IF($B$1-COUNTIF(P20:INDEX(P20:V20,$B$1),"&gt;0")=5,0.4,
IF($B$1-COUNTIF(P20:INDEX(P20:V20,$B$1),"&gt;0")=6,0.2,0))))))</f>
        <v>60.2</v>
      </c>
      <c r="P20" s="3">
        <v>51</v>
      </c>
      <c r="Q20" s="3">
        <v>36</v>
      </c>
      <c r="R20" s="3">
        <v>36</v>
      </c>
      <c r="S20" s="3">
        <v>47</v>
      </c>
      <c r="T20" s="3">
        <v>46</v>
      </c>
      <c r="U20" s="3">
        <v>47</v>
      </c>
      <c r="V20" s="3">
        <v>38</v>
      </c>
      <c r="W20" s="3">
        <f>MIN(100,
IF($B$1&gt;=1,IFERROR(VALUE(SUBSTITUTE(SUBSTITUTE(TRIM(X20),"A",""),"B","")),0),0)+
IF($B$1&gt;=2,IFERROR(VALUE(SUBSTITUTE(SUBSTITUTE(TRIM(Y20),"A",""),"B","")),0),0)+
IF($B$1&gt;=3,IFERROR(VALUE(SUBSTITUTE(SUBSTITUTE(TRIM(Z20),"A",""),"B","")),0),0)+
IF($B$1&gt;=4,IFERROR(VALUE(SUBSTITUTE(SUBSTITUTE(TRIM(AA20),"A",""),"B","")),0),0)+
IF($B$1&gt;=5,IFERROR(VALUE(SUBSTITUTE(SUBSTITUTE(TRIM(AB20),"A",""),"B","")),0),0)+
IF($B$1&gt;=6,IFERROR(VALUE(SUBSTITUTE(SUBSTITUTE(TRIM(AC20),"A",""),"B","")),0),0)+
IF($B$1&gt;=7,IFERROR(VALUE(SUBSTITUTE(SUBSTITUTE(TRIM(AD20),"A",""),"B","")),0),0)
)</f>
        <v>100</v>
      </c>
      <c r="X20" s="3" t="s">
        <v>14</v>
      </c>
      <c r="Y20" s="3" t="s">
        <v>16</v>
      </c>
      <c r="Z20" s="3" t="s">
        <v>16</v>
      </c>
      <c r="AA20" s="3" t="s">
        <v>121</v>
      </c>
      <c r="AB20" s="3" t="s">
        <v>120</v>
      </c>
      <c r="AC20" s="3" t="s">
        <v>156</v>
      </c>
      <c r="AD20" s="3" t="s">
        <v>179</v>
      </c>
      <c r="AE20" s="13">
        <f>AH20+AK20+AN20+AQ20+AT20+AW20+AZ20+BC20</f>
        <v>71.830704399835199</v>
      </c>
      <c r="AG20" s="13">
        <f>SQRT(AF20)</f>
        <v>0</v>
      </c>
      <c r="AH20" s="13">
        <f>IF(AG20&gt;0,AG20/AG$99*1000, 0)</f>
        <v>0</v>
      </c>
      <c r="AI20" s="13">
        <v>1.2</v>
      </c>
      <c r="AJ20" s="13">
        <f>SQRT(AI20)</f>
        <v>1.0954451150103321</v>
      </c>
      <c r="AK20" s="13">
        <f>IF(AJ20&gt;0,AJ20/AJ$99*1000, 0)</f>
        <v>32.402205835451589</v>
      </c>
      <c r="AM20" s="13">
        <f>SQRT(AL20)</f>
        <v>0</v>
      </c>
      <c r="AN20" s="13">
        <f>IF(AM20&gt;0,AM20/AM$99*1000, 0)</f>
        <v>0</v>
      </c>
      <c r="AP20" s="13">
        <f>SQRT(AO20)</f>
        <v>0</v>
      </c>
      <c r="AQ20" s="13">
        <f>IF(AP20&gt;0,AP20/AP$99*1000, 0)</f>
        <v>0</v>
      </c>
      <c r="AR20" s="13">
        <v>0.2</v>
      </c>
      <c r="AS20" s="13">
        <f>SQRT(AR20)</f>
        <v>0.44721359549995793</v>
      </c>
      <c r="AT20" s="13">
        <f>IF(AS20&gt;0,AS20/AS$99*1000, 0)</f>
        <v>25.327143212161378</v>
      </c>
      <c r="AU20" s="13">
        <v>0.1</v>
      </c>
      <c r="AV20" s="13">
        <f>SQRT(AU20)</f>
        <v>0.31622776601683794</v>
      </c>
      <c r="AW20" s="13">
        <f>IF(AV20&gt;0,AV20/AV$99*1000, 0)</f>
        <v>14.101355352222228</v>
      </c>
      <c r="AY20" s="13">
        <f>SQRT(AX20)</f>
        <v>0</v>
      </c>
      <c r="AZ20" s="13">
        <f>IF(AY20&gt;0,AY20/AY$99*1000, 0)</f>
        <v>0</v>
      </c>
      <c r="BB20" s="13">
        <f>SQRT(BA20)</f>
        <v>0</v>
      </c>
      <c r="BC20" s="13">
        <f>IF(BB20&gt;0,BB20/BB$99*1000, 0)</f>
        <v>0</v>
      </c>
      <c r="BD20" s="24">
        <v>0.51</v>
      </c>
      <c r="BE20" s="21">
        <f>SQRT(BD20)</f>
        <v>0.71414284285428498</v>
      </c>
      <c r="BF20" s="13">
        <f>IF(BE20&gt;0, BE20/BE$99*10000, 0)</f>
        <v>183.91147839505351</v>
      </c>
      <c r="BG20" s="27">
        <v>16</v>
      </c>
      <c r="BH20" s="13">
        <f>IF(BG20&gt;0, BG20/BG$99*2000, 0)</f>
        <v>44.506258692628649</v>
      </c>
      <c r="BI20" s="30">
        <v>0</v>
      </c>
      <c r="BJ20" s="30">
        <v>0</v>
      </c>
      <c r="BK20" s="30">
        <f>BJ20+BI20</f>
        <v>0</v>
      </c>
      <c r="BL20" s="3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</row>
    <row r="21" spans="1:90" ht="20.100000000000001" customHeight="1" x14ac:dyDescent="0.25">
      <c r="B21" s="1">
        <v>19</v>
      </c>
      <c r="C21" s="50">
        <v>17</v>
      </c>
      <c r="D21" s="51" t="str">
        <f>IF(C21&lt;B21,"▲"&amp;B21-C21,IF(C21&gt;B21,"▼"&amp;C21-B21,"—"))</f>
        <v>▲2</v>
      </c>
      <c r="E21" s="52" t="s">
        <v>30</v>
      </c>
      <c r="F21" s="53">
        <f>G21+O21+W21+AE21+BF21+BH21+BK21</f>
        <v>917.49826394853051</v>
      </c>
      <c r="G21" s="19">
        <f>IF(COUNTIF(H21:INDEX(H21:N21,$B$1),"&gt;0")=0,0,
SUMIF(H21:INDEX(H21:N21,$B$1),"&gt;0",H21:INDEX(H21:N21,$B$1))*$B$1/COUNTIF(H21:INDEX(H21:N21,$B$1),"&gt;0")*
IF($B$1-COUNTIF(H21:INDEX(H21:N21,$B$1),"&gt;0")&lt;=2,1,
IF($B$1-COUNTIF(H21:INDEX(H21:N21,$B$1),"&gt;0")=3,0.8,
IF($B$1-COUNTIF(H21:INDEX(H21:N21,$B$1),"&gt;0")=4,0.6,
IF($B$1-COUNTIF(H21:INDEX(H21:N21,$B$1),"&gt;0")=5,0.4,
IF($B$1-COUNTIF(H21:INDEX(H21:N21,$B$1),"&gt;0")=6,0.2,0))))))</f>
        <v>516</v>
      </c>
      <c r="H21" s="3">
        <v>80</v>
      </c>
      <c r="I21" s="3">
        <v>77</v>
      </c>
      <c r="J21" s="3">
        <v>63</v>
      </c>
      <c r="K21" s="3">
        <v>54</v>
      </c>
      <c r="L21" s="3">
        <v>85</v>
      </c>
      <c r="M21" s="3">
        <v>52</v>
      </c>
      <c r="N21" s="3">
        <v>105</v>
      </c>
      <c r="O21" s="13">
        <f>0.2*IF(COUNTIF(P21:INDEX(P21:V21,$B$1),"&gt;0")=0,0,
(SUMIF(P21:INDEX(P21:V21,$B$1),"&gt;0",P21:INDEX(P21:V21,$B$1))*$B$1/COUNTIF(P21:INDEX(P21:V21,$B$1),"&gt;0"))*
IF($B$1-COUNTIF(P21:INDEX(P21:V21,$B$1),"&gt;0")&lt;=2,1,
IF($B$1-COUNTIF(P21:INDEX(P21:V21,$B$1),"&gt;0")=3,0.8,
IF($B$1-COUNTIF(P21:INDEX(P21:V21,$B$1),"&gt;0")=4,0.6,
IF($B$1-COUNTIF(P21:INDEX(P21:V21,$B$1),"&gt;0")=5,0.4,
IF($B$1-COUNTIF(P21:INDEX(P21:V21,$B$1),"&gt;0")=6,0.2,0))))))</f>
        <v>66.8</v>
      </c>
      <c r="P21" s="3">
        <v>51</v>
      </c>
      <c r="Q21" s="3">
        <v>42</v>
      </c>
      <c r="R21" s="3">
        <v>47</v>
      </c>
      <c r="S21" s="3">
        <v>47</v>
      </c>
      <c r="T21" s="3">
        <v>50</v>
      </c>
      <c r="U21" s="3">
        <v>48</v>
      </c>
      <c r="V21" s="3">
        <v>49</v>
      </c>
      <c r="W21" s="3">
        <f>MIN(100,
IF($B$1&gt;=1,IFERROR(VALUE(SUBSTITUTE(SUBSTITUTE(TRIM(X21),"A",""),"B","")),0),0)+
IF($B$1&gt;=2,IFERROR(VALUE(SUBSTITUTE(SUBSTITUTE(TRIM(Y21),"A",""),"B","")),0),0)+
IF($B$1&gt;=3,IFERROR(VALUE(SUBSTITUTE(SUBSTITUTE(TRIM(Z21),"A",""),"B","")),0),0)+
IF($B$1&gt;=4,IFERROR(VALUE(SUBSTITUTE(SUBSTITUTE(TRIM(AA21),"A",""),"B","")),0),0)+
IF($B$1&gt;=5,IFERROR(VALUE(SUBSTITUTE(SUBSTITUTE(TRIM(AB21),"A",""),"B","")),0),0)+
IF($B$1&gt;=6,IFERROR(VALUE(SUBSTITUTE(SUBSTITUTE(TRIM(AC21),"A",""),"B","")),0),0)+
IF($B$1&gt;=7,IFERROR(VALUE(SUBSTITUTE(SUBSTITUTE(TRIM(AD21),"A",""),"B","")),0),0)
)</f>
        <v>100</v>
      </c>
      <c r="X21" s="3" t="s">
        <v>14</v>
      </c>
      <c r="Y21" s="3" t="s">
        <v>28</v>
      </c>
      <c r="AA21" s="3" t="s">
        <v>118</v>
      </c>
      <c r="AB21" s="3" t="s">
        <v>118</v>
      </c>
      <c r="AC21" s="3" t="s">
        <v>156</v>
      </c>
      <c r="AD21" s="3" t="s">
        <v>180</v>
      </c>
      <c r="AE21" s="13">
        <f>AH21+AK21+AN21+AQ21+AT21+AW21+AZ21+BC21</f>
        <v>73.762155230304018</v>
      </c>
      <c r="AF21" s="13">
        <v>1.4</v>
      </c>
      <c r="AG21" s="13">
        <f>SQRT(AF21)</f>
        <v>1.1832159566199232</v>
      </c>
      <c r="AH21" s="13">
        <f>IF(AG21&gt;0,AG21/AG$99*1000, 0)</f>
        <v>31.683463803493051</v>
      </c>
      <c r="AI21" s="13">
        <v>0.4</v>
      </c>
      <c r="AJ21" s="13">
        <f>SQRT(AI21)</f>
        <v>0.63245553203367588</v>
      </c>
      <c r="AK21" s="13">
        <f>IF(AJ21&gt;0,AJ21/AJ$99*1000, 0)</f>
        <v>18.707422261435639</v>
      </c>
      <c r="AM21" s="13">
        <f>SQRT(AL21)</f>
        <v>0</v>
      </c>
      <c r="AN21" s="13">
        <f>IF(AM21&gt;0,AM21/AM$99*1000, 0)</f>
        <v>0</v>
      </c>
      <c r="AP21" s="13">
        <f>SQRT(AO21)</f>
        <v>0</v>
      </c>
      <c r="AQ21" s="13">
        <f>IF(AP21&gt;0,AP21/AP$99*1000, 0)</f>
        <v>0</v>
      </c>
      <c r="AS21" s="13">
        <f>SQRT(AR21)</f>
        <v>0</v>
      </c>
      <c r="AT21" s="13">
        <f>IF(AS21&gt;0,AS21/AS$99*1000, 0)</f>
        <v>0</v>
      </c>
      <c r="AU21" s="13">
        <v>0.1</v>
      </c>
      <c r="AV21" s="13">
        <f>SQRT(AU21)</f>
        <v>0.31622776601683794</v>
      </c>
      <c r="AW21" s="13">
        <f>IF(AV21&gt;0,AV21/AV$99*1000, 0)</f>
        <v>14.101355352222228</v>
      </c>
      <c r="AY21" s="13">
        <f>SQRT(AX21)</f>
        <v>0</v>
      </c>
      <c r="AZ21" s="13">
        <f>IF(AY21&gt;0,AY21/AY$99*1000, 0)</f>
        <v>0</v>
      </c>
      <c r="BA21" s="27">
        <v>16</v>
      </c>
      <c r="BB21" s="13">
        <f>SQRT(BA21)</f>
        <v>4</v>
      </c>
      <c r="BC21" s="13">
        <f>IF(BB21&gt;0,BB21/BB$99*1000, 0)</f>
        <v>9.2699138131530958</v>
      </c>
      <c r="BD21" s="24">
        <v>0.15</v>
      </c>
      <c r="BE21" s="21">
        <f>SQRT(BD21)</f>
        <v>0.3872983346207417</v>
      </c>
      <c r="BF21" s="13">
        <f>IF(BE21&gt;0, BE21/BE$99*10000, 0)</f>
        <v>99.740003015862129</v>
      </c>
      <c r="BG21" s="27">
        <v>22</v>
      </c>
      <c r="BH21" s="13">
        <f>IF(BG21&gt;0, BG21/BG$99*2000, 0)</f>
        <v>61.196105702364399</v>
      </c>
      <c r="BI21" s="30">
        <v>0</v>
      </c>
      <c r="BJ21" s="30">
        <v>0</v>
      </c>
      <c r="BK21" s="30">
        <f>BJ21+BI21</f>
        <v>0</v>
      </c>
      <c r="BL21" s="3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</row>
    <row r="22" spans="1:90" ht="20.100000000000001" customHeight="1" x14ac:dyDescent="0.25">
      <c r="B22" s="1">
        <v>18</v>
      </c>
      <c r="C22" s="50">
        <v>18</v>
      </c>
      <c r="D22" s="51" t="str">
        <f>IF(C22&lt;B22,"▲"&amp;B22-C22,IF(C22&gt;B22,"▼"&amp;C22-B22,"—"))</f>
        <v>—</v>
      </c>
      <c r="E22" s="52" t="s">
        <v>41</v>
      </c>
      <c r="F22" s="53">
        <f>G22+O22+W22+AE22+BF22+BH22+BK22</f>
        <v>908.82682719104446</v>
      </c>
      <c r="G22" s="19">
        <f>IF(COUNTIF(H22:INDEX(H22:N22,$B$1),"&gt;0")=0,0,
SUMIF(H22:INDEX(H22:N22,$B$1),"&gt;0",H22:INDEX(H22:N22,$B$1))*$B$1/COUNTIF(H22:INDEX(H22:N22,$B$1),"&gt;0")*
IF($B$1-COUNTIF(H22:INDEX(H22:N22,$B$1),"&gt;0")&lt;=2,1,
IF($B$1-COUNTIF(H22:INDEX(H22:N22,$B$1),"&gt;0")=3,0.8,
IF($B$1-COUNTIF(H22:INDEX(H22:N22,$B$1),"&gt;0")=4,0.6,
IF($B$1-COUNTIF(H22:INDEX(H22:N22,$B$1),"&gt;0")=5,0.4,
IF($B$1-COUNTIF(H22:INDEX(H22:N22,$B$1),"&gt;0")=6,0.2,0))))))</f>
        <v>371</v>
      </c>
      <c r="H22" s="3">
        <v>42</v>
      </c>
      <c r="I22" s="3">
        <v>47</v>
      </c>
      <c r="J22" s="3">
        <v>59</v>
      </c>
      <c r="K22" s="3">
        <v>57</v>
      </c>
      <c r="L22" s="3">
        <v>52</v>
      </c>
      <c r="M22" s="3">
        <v>47</v>
      </c>
      <c r="N22" s="3">
        <v>67</v>
      </c>
      <c r="O22" s="13">
        <f>0.2*IF(COUNTIF(P22:INDEX(P22:V22,$B$1),"&gt;0")=0,0,
(SUMIF(P22:INDEX(P22:V22,$B$1),"&gt;0",P22:INDEX(P22:V22,$B$1))*$B$1/COUNTIF(P22:INDEX(P22:V22,$B$1),"&gt;0"))*
IF($B$1-COUNTIF(P22:INDEX(P22:V22,$B$1),"&gt;0")&lt;=2,1,
IF($B$1-COUNTIF(P22:INDEX(P22:V22,$B$1),"&gt;0")=3,0.8,
IF($B$1-COUNTIF(P22:INDEX(P22:V22,$B$1),"&gt;0")=4,0.6,
IF($B$1-COUNTIF(P22:INDEX(P22:V22,$B$1),"&gt;0")=5,0.4,
IF($B$1-COUNTIF(P22:INDEX(P22:V22,$B$1),"&gt;0")=6,0.2,0))))))</f>
        <v>68.2</v>
      </c>
      <c r="P22" s="3">
        <v>50</v>
      </c>
      <c r="Q22" s="3">
        <v>46</v>
      </c>
      <c r="R22" s="3">
        <v>47</v>
      </c>
      <c r="S22" s="3">
        <v>51</v>
      </c>
      <c r="T22" s="3">
        <v>50</v>
      </c>
      <c r="U22" s="3">
        <v>49</v>
      </c>
      <c r="V22" s="3">
        <v>48</v>
      </c>
      <c r="W22" s="3">
        <f>MIN(100,
IF($B$1&gt;=1,IFERROR(VALUE(SUBSTITUTE(SUBSTITUTE(TRIM(X22),"A",""),"B","")),0),0)+
IF($B$1&gt;=2,IFERROR(VALUE(SUBSTITUTE(SUBSTITUTE(TRIM(Y22),"A",""),"B","")),0),0)+
IF($B$1&gt;=3,IFERROR(VALUE(SUBSTITUTE(SUBSTITUTE(TRIM(Z22),"A",""),"B","")),0),0)+
IF($B$1&gt;=4,IFERROR(VALUE(SUBSTITUTE(SUBSTITUTE(TRIM(AA22),"A",""),"B","")),0),0)+
IF($B$1&gt;=5,IFERROR(VALUE(SUBSTITUTE(SUBSTITUTE(TRIM(AB22),"A",""),"B","")),0),0)+
IF($B$1&gt;=6,IFERROR(VALUE(SUBSTITUTE(SUBSTITUTE(TRIM(AC22),"A",""),"B","")),0),0)+
IF($B$1&gt;=7,IFERROR(VALUE(SUBSTITUTE(SUBSTITUTE(TRIM(AD22),"A",""),"B","")),0),0)
)</f>
        <v>100</v>
      </c>
      <c r="X22" s="3" t="s">
        <v>14</v>
      </c>
      <c r="Y22" s="3" t="s">
        <v>14</v>
      </c>
      <c r="Z22" s="3" t="s">
        <v>14</v>
      </c>
      <c r="AA22" s="3" t="s">
        <v>118</v>
      </c>
      <c r="AB22" s="3" t="s">
        <v>118</v>
      </c>
      <c r="AC22" s="3" t="s">
        <v>156</v>
      </c>
      <c r="AD22" s="3" t="s">
        <v>180</v>
      </c>
      <c r="AE22" s="13">
        <f>AH22+AK22+AN22+AQ22+AT22+AW22+AZ22+BC22</f>
        <v>184.06485248918375</v>
      </c>
      <c r="AG22" s="13">
        <f>SQRT(AF22)</f>
        <v>0</v>
      </c>
      <c r="AH22" s="13">
        <f>IF(AG22&gt;0,AG22/AG$99*1000, 0)</f>
        <v>0</v>
      </c>
      <c r="AI22" s="13">
        <v>0.6</v>
      </c>
      <c r="AJ22" s="13">
        <f>SQRT(AI22)</f>
        <v>0.7745966692414834</v>
      </c>
      <c r="AK22" s="13">
        <f>IF(AJ22&gt;0,AJ22/AJ$99*1000, 0)</f>
        <v>22.911819471650141</v>
      </c>
      <c r="AL22" s="13">
        <v>1</v>
      </c>
      <c r="AM22" s="13">
        <f>SQRT(AL22)</f>
        <v>1</v>
      </c>
      <c r="AN22" s="13">
        <f>IF(AM22&gt;0,AM22/AM$99*1000, 0)</f>
        <v>40.484130484527462</v>
      </c>
      <c r="AP22" s="13">
        <f>SQRT(AO22)</f>
        <v>0</v>
      </c>
      <c r="AQ22" s="13">
        <f>IF(AP22&gt;0,AP22/AP$99*1000, 0)</f>
        <v>0</v>
      </c>
      <c r="AR22" s="13">
        <v>0.4</v>
      </c>
      <c r="AS22" s="13">
        <f>SQRT(AR22)</f>
        <v>0.63245553203367588</v>
      </c>
      <c r="AT22" s="13">
        <f>IF(AS22&gt;0,AS22/AS$99*1000, 0)</f>
        <v>35.817989426804303</v>
      </c>
      <c r="AU22" s="13">
        <v>0.2</v>
      </c>
      <c r="AV22" s="13">
        <f>SQRT(AU22)</f>
        <v>0.44721359549995793</v>
      </c>
      <c r="AW22" s="13">
        <f>IF(AV22&gt;0,AV22/AV$99*1000, 0)</f>
        <v>19.942327986955107</v>
      </c>
      <c r="AX22" s="13">
        <v>0.5</v>
      </c>
      <c r="AY22" s="13">
        <f>SQRT(AX22)</f>
        <v>0.70710678118654757</v>
      </c>
      <c r="AZ22" s="13">
        <f>IF(AY22&gt;0,AY22/AY$99*1000, 0)</f>
        <v>34.163759162085235</v>
      </c>
      <c r="BA22" s="27">
        <v>176</v>
      </c>
      <c r="BB22" s="13">
        <f>SQRT(BA22)</f>
        <v>13.266499161421599</v>
      </c>
      <c r="BC22" s="13">
        <f>IF(BB22&gt;0,BB22/BB$99*1000, 0)</f>
        <v>30.744825957161513</v>
      </c>
      <c r="BD22" s="24">
        <v>0.43</v>
      </c>
      <c r="BE22" s="21">
        <f>SQRT(BD22)</f>
        <v>0.65574385243020006</v>
      </c>
      <c r="BF22" s="13">
        <f>IF(BE22&gt;0, BE22/BE$99*10000, 0)</f>
        <v>168.87212769212488</v>
      </c>
      <c r="BG22" s="27">
        <v>6</v>
      </c>
      <c r="BH22" s="13">
        <f>IF(BG22&gt;0, BG22/BG$99*2000, 0)</f>
        <v>16.689847009735743</v>
      </c>
      <c r="BI22" s="30">
        <v>0</v>
      </c>
      <c r="BJ22" s="30">
        <v>0</v>
      </c>
      <c r="BK22" s="30">
        <f>BJ22+BI22</f>
        <v>0</v>
      </c>
      <c r="BL22" s="3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</row>
    <row r="23" spans="1:90" ht="20.100000000000001" customHeight="1" x14ac:dyDescent="0.25">
      <c r="B23" s="1">
        <v>23</v>
      </c>
      <c r="C23" s="50">
        <v>19</v>
      </c>
      <c r="D23" s="51" t="str">
        <f>IF(C23&lt;B23,"▲"&amp;B23-C23,IF(C23&gt;B23,"▼"&amp;C23-B23,"—"))</f>
        <v>▲4</v>
      </c>
      <c r="E23" s="52" t="s">
        <v>111</v>
      </c>
      <c r="F23" s="53">
        <f>G23+O23+W23+AE23+BF23+BH23+BK23</f>
        <v>874.61345052201636</v>
      </c>
      <c r="G23" s="19">
        <f>IF(COUNTIF(H23:INDEX(H23:N23,$B$1),"&gt;0")=0,0,
SUMIF(H23:INDEX(H23:N23,$B$1),"&gt;0",H23:INDEX(H23:N23,$B$1))*$B$1/COUNTIF(H23:INDEX(H23:N23,$B$1),"&gt;0")*
IF($B$1-COUNTIF(H23:INDEX(H23:N23,$B$1),"&gt;0")&lt;=2,1,
IF($B$1-COUNTIF(H23:INDEX(H23:N23,$B$1),"&gt;0")=3,0.8,
IF($B$1-COUNTIF(H23:INDEX(H23:N23,$B$1),"&gt;0")=4,0.6,
IF($B$1-COUNTIF(H23:INDEX(H23:N23,$B$1),"&gt;0")=5,0.4,
IF($B$1-COUNTIF(H23:INDEX(H23:N23,$B$1),"&gt;0")=6,0.2,0))))))</f>
        <v>550.20000000000005</v>
      </c>
      <c r="H23" s="3">
        <v>-1</v>
      </c>
      <c r="I23" s="3">
        <v>-1</v>
      </c>
      <c r="J23" s="3">
        <v>-1</v>
      </c>
      <c r="K23" s="3">
        <v>82</v>
      </c>
      <c r="L23" s="3">
        <v>95</v>
      </c>
      <c r="M23" s="3">
        <v>97</v>
      </c>
      <c r="N23" s="3">
        <v>119</v>
      </c>
      <c r="O23" s="13">
        <f>0.2*IF(COUNTIF(P23:INDEX(P23:V23,$B$1),"&gt;0")=0,0,
(SUMIF(P23:INDEX(P23:V23,$B$1),"&gt;0",P23:INDEX(P23:V23,$B$1))*$B$1/COUNTIF(P23:INDEX(P23:V23,$B$1),"&gt;0"))*
IF($B$1-COUNTIF(P23:INDEX(P23:V23,$B$1),"&gt;0")&lt;=2,1,
IF($B$1-COUNTIF(P23:INDEX(P23:V23,$B$1),"&gt;0")=3,0.8,
IF($B$1-COUNTIF(P23:INDEX(P23:V23,$B$1),"&gt;0")=4,0.6,
IF($B$1-COUNTIF(P23:INDEX(P23:V23,$B$1),"&gt;0")=5,0.4,
IF($B$1-COUNTIF(P23:INDEX(P23:V23,$B$1),"&gt;0")=6,0.2,0))))))</f>
        <v>51.24</v>
      </c>
      <c r="P23" s="3">
        <v>-1</v>
      </c>
      <c r="Q23" s="3">
        <v>-1</v>
      </c>
      <c r="R23" s="3">
        <v>-1</v>
      </c>
      <c r="S23" s="3">
        <v>52</v>
      </c>
      <c r="T23" s="3">
        <v>45</v>
      </c>
      <c r="U23" s="3">
        <v>41</v>
      </c>
      <c r="V23" s="3">
        <v>45</v>
      </c>
      <c r="W23" s="3">
        <f>MIN(100,
IF($B$1&gt;=1,IFERROR(VALUE(SUBSTITUTE(SUBSTITUTE(TRIM(X23),"A",""),"B","")),0),0)+
IF($B$1&gt;=2,IFERROR(VALUE(SUBSTITUTE(SUBSTITUTE(TRIM(Y23),"A",""),"B","")),0),0)+
IF($B$1&gt;=3,IFERROR(VALUE(SUBSTITUTE(SUBSTITUTE(TRIM(Z23),"A",""),"B","")),0),0)+
IF($B$1&gt;=4,IFERROR(VALUE(SUBSTITUTE(SUBSTITUTE(TRIM(AA23),"A",""),"B","")),0),0)+
IF($B$1&gt;=5,IFERROR(VALUE(SUBSTITUTE(SUBSTITUTE(TRIM(AB23),"A",""),"B","")),0),0)+
IF($B$1&gt;=6,IFERROR(VALUE(SUBSTITUTE(SUBSTITUTE(TRIM(AC23),"A",""),"B","")),0),0)+
IF($B$1&gt;=7,IFERROR(VALUE(SUBSTITUTE(SUBSTITUTE(TRIM(AD23),"A",""),"B","")),0),0)
)</f>
        <v>80</v>
      </c>
      <c r="X23" s="3"/>
      <c r="AA23" s="3" t="s">
        <v>118</v>
      </c>
      <c r="AB23" s="3" t="s">
        <v>118</v>
      </c>
      <c r="AC23" s="3" t="s">
        <v>156</v>
      </c>
      <c r="AD23" s="3" t="s">
        <v>180</v>
      </c>
      <c r="AE23" s="13">
        <f>AH23+AK23+AN23+AQ23+AT23+AW23+AZ23+BC23</f>
        <v>71.180318159839757</v>
      </c>
      <c r="AG23" s="13">
        <f>SQRT(AF23)</f>
        <v>0</v>
      </c>
      <c r="AH23" s="13">
        <f>IF(AG23&gt;0,AG23/AG$99*1000, 0)</f>
        <v>0</v>
      </c>
      <c r="AI23" s="13">
        <v>2.2999999999999998</v>
      </c>
      <c r="AJ23" s="13">
        <f>SQRT(AI23)</f>
        <v>1.51657508881031</v>
      </c>
      <c r="AK23" s="13">
        <f>IF(AJ23&gt;0,AJ23/AJ$99*1000, 0)</f>
        <v>44.858822700657576</v>
      </c>
      <c r="AM23" s="13">
        <f>SQRT(AL23)</f>
        <v>0</v>
      </c>
      <c r="AN23" s="13">
        <f>IF(AM23&gt;0,AM23/AM$99*1000, 0)</f>
        <v>0</v>
      </c>
      <c r="AP23" s="13">
        <f>SQRT(AO23)</f>
        <v>0</v>
      </c>
      <c r="AQ23" s="13">
        <f>IF(AP23&gt;0,AP23/AP$99*1000, 0)</f>
        <v>0</v>
      </c>
      <c r="AS23" s="13">
        <f>SQRT(AR23)</f>
        <v>0</v>
      </c>
      <c r="AT23" s="13">
        <f>IF(AS23&gt;0,AS23/AS$99*1000, 0)</f>
        <v>0</v>
      </c>
      <c r="AV23" s="13">
        <f>SQRT(AU23)</f>
        <v>0</v>
      </c>
      <c r="AW23" s="13">
        <f>IF(AV23&gt;0,AV23/AV$99*1000, 0)</f>
        <v>0</v>
      </c>
      <c r="AY23" s="13">
        <f>SQRT(AX23)</f>
        <v>0</v>
      </c>
      <c r="AZ23" s="13">
        <f>IF(AY23&gt;0,AY23/AY$99*1000, 0)</f>
        <v>0</v>
      </c>
      <c r="BA23" s="27">
        <v>129</v>
      </c>
      <c r="BB23" s="13">
        <f>SQRT(BA23)</f>
        <v>11.357816691600547</v>
      </c>
      <c r="BC23" s="13">
        <f>IF(BB23&gt;0,BB23/BB$99*1000, 0)</f>
        <v>26.321495459182177</v>
      </c>
      <c r="BD23" s="24">
        <v>0.15</v>
      </c>
      <c r="BE23" s="21">
        <f>SQRT(BD23)</f>
        <v>0.3872983346207417</v>
      </c>
      <c r="BF23" s="13">
        <f>IF(BE23&gt;0, BE23/BE$99*10000, 0)</f>
        <v>99.740003015862129</v>
      </c>
      <c r="BG23" s="27">
        <v>8</v>
      </c>
      <c r="BH23" s="13">
        <f>IF(BG23&gt;0, BG23/BG$99*2000, 0)</f>
        <v>22.253129346314324</v>
      </c>
      <c r="BI23" s="30">
        <v>0</v>
      </c>
      <c r="BJ23" s="30">
        <v>0</v>
      </c>
      <c r="BK23" s="30">
        <f>BJ23+BI23</f>
        <v>0</v>
      </c>
      <c r="BL23" s="3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</row>
    <row r="24" spans="1:90" ht="20.100000000000001" customHeight="1" x14ac:dyDescent="0.25">
      <c r="B24" s="1">
        <v>22</v>
      </c>
      <c r="C24" s="50">
        <v>20</v>
      </c>
      <c r="D24" s="51" t="str">
        <f>IF(C24&lt;B24,"▲"&amp;B24-C24,IF(C24&gt;B24,"▼"&amp;C24-B24,"—"))</f>
        <v>▲2</v>
      </c>
      <c r="E24" s="52" t="s">
        <v>39</v>
      </c>
      <c r="F24" s="53">
        <f>G24+O24+W24+AE24+BF24+BH24+BK24</f>
        <v>866.1637995040403</v>
      </c>
      <c r="G24" s="19">
        <f>IF(COUNTIF(H24:INDEX(H24:N24,$B$1),"&gt;0")=0,0,
SUMIF(H24:INDEX(H24:N24,$B$1),"&gt;0",H24:INDEX(H24:N24,$B$1))*$B$1/COUNTIF(H24:INDEX(H24:N24,$B$1),"&gt;0")*
IF($B$1-COUNTIF(H24:INDEX(H24:N24,$B$1),"&gt;0")&lt;=2,1,
IF($B$1-COUNTIF(H24:INDEX(H24:N24,$B$1),"&gt;0")=3,0.8,
IF($B$1-COUNTIF(H24:INDEX(H24:N24,$B$1),"&gt;0")=4,0.6,
IF($B$1-COUNTIF(H24:INDEX(H24:N24,$B$1),"&gt;0")=5,0.4,
IF($B$1-COUNTIF(H24:INDEX(H24:N24,$B$1),"&gt;0")=6,0.2,0))))))</f>
        <v>456</v>
      </c>
      <c r="H24" s="3">
        <v>72</v>
      </c>
      <c r="I24" s="3">
        <v>65</v>
      </c>
      <c r="J24" s="3">
        <v>47</v>
      </c>
      <c r="K24" s="3">
        <v>101</v>
      </c>
      <c r="L24" s="3">
        <v>43</v>
      </c>
      <c r="M24" s="3">
        <v>48</v>
      </c>
      <c r="N24" s="3">
        <v>80</v>
      </c>
      <c r="O24" s="13">
        <f>0.2*IF(COUNTIF(P24:INDEX(P24:V24,$B$1),"&gt;0")=0,0,
(SUMIF(P24:INDEX(P24:V24,$B$1),"&gt;0",P24:INDEX(P24:V24,$B$1))*$B$1/COUNTIF(P24:INDEX(P24:V24,$B$1),"&gt;0"))*
IF($B$1-COUNTIF(P24:INDEX(P24:V24,$B$1),"&gt;0")&lt;=2,1,
IF($B$1-COUNTIF(P24:INDEX(P24:V24,$B$1),"&gt;0")=3,0.8,
IF($B$1-COUNTIF(P24:INDEX(P24:V24,$B$1),"&gt;0")=4,0.6,
IF($B$1-COUNTIF(P24:INDEX(P24:V24,$B$1),"&gt;0")=5,0.4,
IF($B$1-COUNTIF(P24:INDEX(P24:V24,$B$1),"&gt;0")=6,0.2,0))))))</f>
        <v>58.2</v>
      </c>
      <c r="P24" s="3">
        <v>46</v>
      </c>
      <c r="Q24" s="3">
        <v>40</v>
      </c>
      <c r="R24" s="3">
        <v>44</v>
      </c>
      <c r="S24" s="3">
        <v>39</v>
      </c>
      <c r="T24" s="3">
        <v>42</v>
      </c>
      <c r="U24" s="3">
        <v>38</v>
      </c>
      <c r="V24" s="3">
        <v>42</v>
      </c>
      <c r="W24" s="3">
        <f>MIN(100,
IF($B$1&gt;=1,IFERROR(VALUE(SUBSTITUTE(SUBSTITUTE(TRIM(X24),"A",""),"B","")),0),0)+
IF($B$1&gt;=2,IFERROR(VALUE(SUBSTITUTE(SUBSTITUTE(TRIM(Y24),"A",""),"B","")),0),0)+
IF($B$1&gt;=3,IFERROR(VALUE(SUBSTITUTE(SUBSTITUTE(TRIM(Z24),"A",""),"B","")),0),0)+
IF($B$1&gt;=4,IFERROR(VALUE(SUBSTITUTE(SUBSTITUTE(TRIM(AA24),"A",""),"B","")),0),0)+
IF($B$1&gt;=5,IFERROR(VALUE(SUBSTITUTE(SUBSTITUTE(TRIM(AB24),"A",""),"B","")),0),0)+
IF($B$1&gt;=6,IFERROR(VALUE(SUBSTITUTE(SUBSTITUTE(TRIM(AC24),"A",""),"B","")),0),0)+
IF($B$1&gt;=7,IFERROR(VALUE(SUBSTITUTE(SUBSTITUTE(TRIM(AD24),"A",""),"B","")),0),0)
)</f>
        <v>100</v>
      </c>
      <c r="X24" s="3" t="s">
        <v>14</v>
      </c>
      <c r="Z24" s="3" t="s">
        <v>14</v>
      </c>
      <c r="AA24" s="3" t="s">
        <v>118</v>
      </c>
      <c r="AB24" s="3" t="s">
        <v>118</v>
      </c>
      <c r="AC24" s="3" t="s">
        <v>156</v>
      </c>
      <c r="AD24" s="3" t="s">
        <v>180</v>
      </c>
      <c r="AE24" s="13">
        <f>AH24+AK24+AN24+AQ24+AT24+AW24+AZ24+BC24</f>
        <v>75.732025129957975</v>
      </c>
      <c r="AF24" s="13">
        <v>1.2</v>
      </c>
      <c r="AG24" s="13">
        <f>SQRT(AF24)</f>
        <v>1.0954451150103321</v>
      </c>
      <c r="AH24" s="13">
        <f>IF(AG24&gt;0,AG24/AG$99*1000, 0)</f>
        <v>29.333187619689959</v>
      </c>
      <c r="AI24" s="13"/>
      <c r="AJ24" s="13">
        <f>SQRT(AI24)</f>
        <v>0</v>
      </c>
      <c r="AK24" s="13">
        <f>IF(AJ24&gt;0,AJ24/AJ$99*1000, 0)</f>
        <v>0</v>
      </c>
      <c r="AM24" s="13">
        <f>SQRT(AL24)</f>
        <v>0</v>
      </c>
      <c r="AN24" s="13">
        <f>IF(AM24&gt;0,AM24/AM$99*1000, 0)</f>
        <v>0</v>
      </c>
      <c r="AP24" s="13">
        <f>SQRT(AO24)</f>
        <v>0</v>
      </c>
      <c r="AQ24" s="13">
        <f>IF(AP24&gt;0,AP24/AP$99*1000, 0)</f>
        <v>0</v>
      </c>
      <c r="AS24" s="13">
        <f>SQRT(AR24)</f>
        <v>0</v>
      </c>
      <c r="AT24" s="13">
        <f>IF(AS24&gt;0,AS24/AS$99*1000, 0)</f>
        <v>0</v>
      </c>
      <c r="AV24" s="13">
        <f>SQRT(AU24)</f>
        <v>0</v>
      </c>
      <c r="AW24" s="13">
        <f>IF(AV24&gt;0,AV24/AV$99*1000, 0)</f>
        <v>0</v>
      </c>
      <c r="AX24" s="13">
        <v>0.3</v>
      </c>
      <c r="AY24" s="13">
        <f>SQRT(AX24)</f>
        <v>0.54772255750516607</v>
      </c>
      <c r="AZ24" s="13">
        <f>IF(AY24&gt;0,AY24/AY$99*1000, 0)</f>
        <v>26.463134055719429</v>
      </c>
      <c r="BA24" s="27">
        <v>74</v>
      </c>
      <c r="BB24" s="13">
        <f>SQRT(BA24)</f>
        <v>8.6023252670426267</v>
      </c>
      <c r="BC24" s="13">
        <f>IF(BB24&gt;0,BB24/BB$99*1000, 0)</f>
        <v>19.935703454548584</v>
      </c>
      <c r="BD24" s="24">
        <v>0.24</v>
      </c>
      <c r="BE24" s="21">
        <f>SQRT(BD24)</f>
        <v>0.4898979485566356</v>
      </c>
      <c r="BF24" s="13">
        <f>IF(BE24&gt;0, BE24/BE$99*10000, 0)</f>
        <v>126.16223334487503</v>
      </c>
      <c r="BG24" s="27">
        <v>18</v>
      </c>
      <c r="BH24" s="13">
        <f>IF(BG24&gt;0, BG24/BG$99*2000, 0)</f>
        <v>50.06954102920723</v>
      </c>
      <c r="BI24" s="30">
        <v>0</v>
      </c>
      <c r="BJ24" s="30">
        <v>0</v>
      </c>
      <c r="BK24" s="30">
        <f>BJ24+BI24</f>
        <v>0</v>
      </c>
      <c r="BL24" s="3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</row>
    <row r="25" spans="1:90" ht="19.8" customHeight="1" x14ac:dyDescent="0.25">
      <c r="B25" s="1">
        <v>20</v>
      </c>
      <c r="C25" s="50">
        <v>21</v>
      </c>
      <c r="D25" s="51" t="str">
        <f>IF(C25&lt;B25,"▲"&amp;B25-C25,IF(C25&gt;B25,"▼"&amp;C25-B25,"—"))</f>
        <v>▼1</v>
      </c>
      <c r="E25" s="52" t="s">
        <v>35</v>
      </c>
      <c r="F25" s="53">
        <f>G25+O25+W25+AE25+BF25+BH25+BK25</f>
        <v>858.77952546890845</v>
      </c>
      <c r="G25" s="19">
        <f>IF(COUNTIF(H25:INDEX(H25:N25,$B$1),"&gt;0")=0,0,
SUMIF(H25:INDEX(H25:N25,$B$1),"&gt;0",H25:INDEX(H25:N25,$B$1))*$B$1/COUNTIF(H25:INDEX(H25:N25,$B$1),"&gt;0")*
IF($B$1-COUNTIF(H25:INDEX(H25:N25,$B$1),"&gt;0")&lt;=2,1,
IF($B$1-COUNTIF(H25:INDEX(H25:N25,$B$1),"&gt;0")=3,0.8,
IF($B$1-COUNTIF(H25:INDEX(H25:N25,$B$1),"&gt;0")=4,0.6,
IF($B$1-COUNTIF(H25:INDEX(H25:N25,$B$1),"&gt;0")=5,0.4,
IF($B$1-COUNTIF(H25:INDEX(H25:N25,$B$1),"&gt;0")=6,0.2,0))))))</f>
        <v>420</v>
      </c>
      <c r="H25" s="3">
        <v>57</v>
      </c>
      <c r="I25" s="3">
        <v>50</v>
      </c>
      <c r="J25" s="3">
        <v>68</v>
      </c>
      <c r="K25" s="3">
        <v>63</v>
      </c>
      <c r="L25" s="3">
        <v>60</v>
      </c>
      <c r="M25" s="3">
        <v>55</v>
      </c>
      <c r="N25" s="3">
        <v>67</v>
      </c>
      <c r="O25" s="13">
        <f>0.2*IF(COUNTIF(P25:INDEX(P25:V25,$B$1),"&gt;0")=0,0,
(SUMIF(P25:INDEX(P25:V25,$B$1),"&gt;0",P25:INDEX(P25:V25,$B$1))*$B$1/COUNTIF(P25:INDEX(P25:V25,$B$1),"&gt;0"))*
IF($B$1-COUNTIF(P25:INDEX(P25:V25,$B$1),"&gt;0")&lt;=2,1,
IF($B$1-COUNTIF(P25:INDEX(P25:V25,$B$1),"&gt;0")=3,0.8,
IF($B$1-COUNTIF(P25:INDEX(P25:V25,$B$1),"&gt;0")=4,0.6,
IF($B$1-COUNTIF(P25:INDEX(P25:V25,$B$1),"&gt;0")=5,0.4,
IF($B$1-COUNTIF(P25:INDEX(P25:V25,$B$1),"&gt;0")=6,0.2,0))))))</f>
        <v>94</v>
      </c>
      <c r="P25" s="3">
        <v>68</v>
      </c>
      <c r="Q25" s="3">
        <v>59</v>
      </c>
      <c r="R25" s="3">
        <v>69</v>
      </c>
      <c r="S25" s="3">
        <v>69</v>
      </c>
      <c r="T25" s="3">
        <v>67</v>
      </c>
      <c r="U25" s="3">
        <v>68</v>
      </c>
      <c r="V25" s="3">
        <v>70</v>
      </c>
      <c r="W25" s="3">
        <f>MIN(100,
IF($B$1&gt;=1,IFERROR(VALUE(SUBSTITUTE(SUBSTITUTE(TRIM(X25),"A",""),"B","")),0),0)+
IF($B$1&gt;=2,IFERROR(VALUE(SUBSTITUTE(SUBSTITUTE(TRIM(Y25),"A",""),"B","")),0),0)+
IF($B$1&gt;=3,IFERROR(VALUE(SUBSTITUTE(SUBSTITUTE(TRIM(Z25),"A",""),"B","")),0),0)+
IF($B$1&gt;=4,IFERROR(VALUE(SUBSTITUTE(SUBSTITUTE(TRIM(AA25),"A",""),"B","")),0),0)+
IF($B$1&gt;=5,IFERROR(VALUE(SUBSTITUTE(SUBSTITUTE(TRIM(AB25),"A",""),"B","")),0),0)+
IF($B$1&gt;=6,IFERROR(VALUE(SUBSTITUTE(SUBSTITUTE(TRIM(AC25),"A",""),"B","")),0),0)+
IF($B$1&gt;=7,IFERROR(VALUE(SUBSTITUTE(SUBSTITUTE(TRIM(AD25),"A",""),"B","")),0),0)
)</f>
        <v>100</v>
      </c>
      <c r="X25" s="3" t="s">
        <v>31</v>
      </c>
      <c r="Y25" s="3" t="s">
        <v>16</v>
      </c>
      <c r="Z25" s="3" t="s">
        <v>16</v>
      </c>
      <c r="AA25" s="3" t="s">
        <v>120</v>
      </c>
      <c r="AB25" s="3" t="s">
        <v>120</v>
      </c>
      <c r="AC25" s="3" t="s">
        <v>156</v>
      </c>
      <c r="AD25" s="3" t="s">
        <v>179</v>
      </c>
      <c r="AE25" s="13">
        <f>AH25+AK25+AN25+AQ25+AT25+AW25+AZ25+BC25</f>
        <v>99.655207554412186</v>
      </c>
      <c r="AG25" s="13">
        <f>SQRT(AF25)</f>
        <v>0</v>
      </c>
      <c r="AH25" s="13">
        <f>IF(AG25&gt;0,AG25/AG$99*1000, 0)</f>
        <v>0</v>
      </c>
      <c r="AI25" s="13">
        <v>0.9</v>
      </c>
      <c r="AJ25" s="13">
        <f>SQRT(AI25)</f>
        <v>0.94868329805051377</v>
      </c>
      <c r="AK25" s="13">
        <f>IF(AJ25&gt;0,AJ25/AJ$99*1000, 0)</f>
        <v>28.061133392153454</v>
      </c>
      <c r="AL25" s="13">
        <v>0.2</v>
      </c>
      <c r="AM25" s="13">
        <f>SQRT(AL25)</f>
        <v>0.44721359549995793</v>
      </c>
      <c r="AN25" s="13">
        <f>IF(AM25&gt;0,AM25/AM$99*1000, 0)</f>
        <v>18.105053554674978</v>
      </c>
      <c r="AP25" s="13">
        <f>SQRT(AO25)</f>
        <v>0</v>
      </c>
      <c r="AQ25" s="13">
        <f>IF(AP25&gt;0,AP25/AP$99*1000, 0)</f>
        <v>0</v>
      </c>
      <c r="AR25" s="13">
        <v>0.2</v>
      </c>
      <c r="AS25" s="13">
        <f>SQRT(AR25)</f>
        <v>0.44721359549995793</v>
      </c>
      <c r="AT25" s="13">
        <f>IF(AS25&gt;0,AS25/AS$99*1000, 0)</f>
        <v>25.327143212161378</v>
      </c>
      <c r="AV25" s="13">
        <f>SQRT(AU25)</f>
        <v>0</v>
      </c>
      <c r="AW25" s="13">
        <f>IF(AV25&gt;0,AV25/AV$99*1000, 0)</f>
        <v>0</v>
      </c>
      <c r="AX25" s="13">
        <v>0.2</v>
      </c>
      <c r="AY25" s="13">
        <f>SQRT(AX25)</f>
        <v>0.44721359549995793</v>
      </c>
      <c r="AZ25" s="13">
        <f>IF(AY25&gt;0,AY25/AY$99*1000, 0)</f>
        <v>21.607058477126984</v>
      </c>
      <c r="BA25" s="27">
        <v>8</v>
      </c>
      <c r="BB25" s="13">
        <f>SQRT(BA25)</f>
        <v>2.8284271247461903</v>
      </c>
      <c r="BC25" s="13">
        <f>IF(BB25&gt;0,BB25/BB$99*1000, 0)</f>
        <v>6.5548189182954015</v>
      </c>
      <c r="BD25" s="24">
        <v>0.17</v>
      </c>
      <c r="BE25" s="21">
        <f>SQRT(BD25)</f>
        <v>0.41231056256176607</v>
      </c>
      <c r="BF25" s="13">
        <f>IF(BE25&gt;0, BE25/BE$99*10000, 0)</f>
        <v>106.18134155844618</v>
      </c>
      <c r="BG25" s="27">
        <v>14</v>
      </c>
      <c r="BH25" s="13">
        <f>IF(BG25&gt;0, BG25/BG$99*2000, 0)</f>
        <v>38.942976356050067</v>
      </c>
      <c r="BI25" s="30">
        <v>0</v>
      </c>
      <c r="BJ25" s="30">
        <v>0</v>
      </c>
      <c r="BK25" s="30">
        <f>BJ25+BI25</f>
        <v>0</v>
      </c>
      <c r="BL25" s="3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</row>
    <row r="26" spans="1:90" ht="20.100000000000001" customHeight="1" x14ac:dyDescent="0.25">
      <c r="B26" s="1">
        <v>17</v>
      </c>
      <c r="C26" s="50">
        <v>22</v>
      </c>
      <c r="D26" s="51" t="str">
        <f>IF(C26&lt;B26,"▲"&amp;B26-C26,IF(C26&gt;B26,"▼"&amp;C26-B26,"—"))</f>
        <v>▼5</v>
      </c>
      <c r="E26" s="52" t="s">
        <v>27</v>
      </c>
      <c r="F26" s="53">
        <f>G26+O26+W26+AE26+BF26+BH26+BK26</f>
        <v>845.20894912286064</v>
      </c>
      <c r="G26" s="19">
        <f>IF(COUNTIF(H26:INDEX(H26:N26,$B$1),"&gt;0")=0,0,
SUMIF(H26:INDEX(H26:N26,$B$1),"&gt;0",H26:INDEX(H26:N26,$B$1))*$B$1/COUNTIF(H26:INDEX(H26:N26,$B$1),"&gt;0")*
IF($B$1-COUNTIF(H26:INDEX(H26:N26,$B$1),"&gt;0")&lt;=2,1,
IF($B$1-COUNTIF(H26:INDEX(H26:N26,$B$1),"&gt;0")=3,0.8,
IF($B$1-COUNTIF(H26:INDEX(H26:N26,$B$1),"&gt;0")=4,0.6,
IF($B$1-COUNTIF(H26:INDEX(H26:N26,$B$1),"&gt;0")=5,0.4,
IF($B$1-COUNTIF(H26:INDEX(H26:N26,$B$1),"&gt;0")=6,0.2,0))))))</f>
        <v>437</v>
      </c>
      <c r="H26" s="3">
        <v>51</v>
      </c>
      <c r="I26" s="3">
        <v>72</v>
      </c>
      <c r="J26" s="3">
        <v>87</v>
      </c>
      <c r="K26" s="3">
        <v>60</v>
      </c>
      <c r="L26" s="3">
        <v>50</v>
      </c>
      <c r="M26" s="3">
        <v>44</v>
      </c>
      <c r="N26" s="3">
        <v>73</v>
      </c>
      <c r="O26" s="13">
        <f>0.2*IF(COUNTIF(P26:INDEX(P26:V26,$B$1),"&gt;0")=0,0,
(SUMIF(P26:INDEX(P26:V26,$B$1),"&gt;0",P26:INDEX(P26:V26,$B$1))*$B$1/COUNTIF(P26:INDEX(P26:V26,$B$1),"&gt;0"))*
IF($B$1-COUNTIF(P26:INDEX(P26:V26,$B$1),"&gt;0")&lt;=2,1,
IF($B$1-COUNTIF(P26:INDEX(P26:V26,$B$1),"&gt;0")=3,0.8,
IF($B$1-COUNTIF(P26:INDEX(P26:V26,$B$1),"&gt;0")=4,0.6,
IF($B$1-COUNTIF(P26:INDEX(P26:V26,$B$1),"&gt;0")=5,0.4,
IF($B$1-COUNTIF(P26:INDEX(P26:V26,$B$1),"&gt;0")=6,0.2,0))))))</f>
        <v>63.400000000000006</v>
      </c>
      <c r="P26" s="3">
        <v>45</v>
      </c>
      <c r="Q26" s="3">
        <v>39</v>
      </c>
      <c r="R26" s="3">
        <v>50</v>
      </c>
      <c r="S26" s="3">
        <v>55</v>
      </c>
      <c r="T26" s="3">
        <v>44</v>
      </c>
      <c r="U26" s="3">
        <v>41</v>
      </c>
      <c r="V26" s="3">
        <v>43</v>
      </c>
      <c r="W26" s="3">
        <f>MIN(100,
IF($B$1&gt;=1,IFERROR(VALUE(SUBSTITUTE(SUBSTITUTE(TRIM(X26),"A",""),"B","")),0),0)+
IF($B$1&gt;=2,IFERROR(VALUE(SUBSTITUTE(SUBSTITUTE(TRIM(Y26),"A",""),"B","")),0),0)+
IF($B$1&gt;=3,IFERROR(VALUE(SUBSTITUTE(SUBSTITUTE(TRIM(Z26),"A",""),"B","")),0),0)+
IF($B$1&gt;=4,IFERROR(VALUE(SUBSTITUTE(SUBSTITUTE(TRIM(AA26),"A",""),"B","")),0),0)+
IF($B$1&gt;=5,IFERROR(VALUE(SUBSTITUTE(SUBSTITUTE(TRIM(AB26),"A",""),"B","")),0),0)+
IF($B$1&gt;=6,IFERROR(VALUE(SUBSTITUTE(SUBSTITUTE(TRIM(AC26),"A",""),"B","")),0),0)+
IF($B$1&gt;=7,IFERROR(VALUE(SUBSTITUTE(SUBSTITUTE(TRIM(AD26),"A",""),"B","")),0),0)
)</f>
        <v>90</v>
      </c>
      <c r="X26" s="3" t="s">
        <v>14</v>
      </c>
      <c r="Y26" s="3" t="s">
        <v>14</v>
      </c>
      <c r="Z26" s="3" t="s">
        <v>28</v>
      </c>
      <c r="AA26" s="3" t="s">
        <v>118</v>
      </c>
      <c r="AC26" s="3" t="s">
        <v>156</v>
      </c>
      <c r="AE26" s="13">
        <f>AH26+AK26+AN26+AQ26+AT26+AW26+AZ26+BC26</f>
        <v>186.01701936102188</v>
      </c>
      <c r="AF26" s="13">
        <v>2.5</v>
      </c>
      <c r="AG26" s="13">
        <f>SQRT(AF26)</f>
        <v>1.5811388300841898</v>
      </c>
      <c r="AH26" s="13">
        <f>IF(AG26&gt;0,AG26/AG$99*1000, 0)</f>
        <v>42.338809421044495</v>
      </c>
      <c r="AI26" s="13">
        <v>1</v>
      </c>
      <c r="AJ26" s="13">
        <f>SQRT(AI26)</f>
        <v>1</v>
      </c>
      <c r="AK26" s="13">
        <f>IF(AJ26&gt;0,AJ26/AJ$99*1000, 0)</f>
        <v>29.579031748337268</v>
      </c>
      <c r="AM26" s="13">
        <f>SQRT(AL26)</f>
        <v>0</v>
      </c>
      <c r="AN26" s="13">
        <f>IF(AM26&gt;0,AM26/AM$99*1000, 0)</f>
        <v>0</v>
      </c>
      <c r="AO26" s="13">
        <v>1.1000000000000001</v>
      </c>
      <c r="AP26" s="13">
        <f>SQRT(AO26)</f>
        <v>1.0488088481701516</v>
      </c>
      <c r="AQ26" s="13">
        <f>IF(AP26&gt;0,AP26/AP$99*1000, 0)</f>
        <v>71.21498399065112</v>
      </c>
      <c r="AS26" s="13">
        <f>SQRT(AR26)</f>
        <v>0</v>
      </c>
      <c r="AT26" s="13">
        <f>IF(AS26&gt;0,AS26/AS$99*1000, 0)</f>
        <v>0</v>
      </c>
      <c r="AU26" s="13">
        <v>0.2</v>
      </c>
      <c r="AV26" s="13">
        <f>SQRT(AU26)</f>
        <v>0.44721359549995793</v>
      </c>
      <c r="AW26" s="13">
        <f>IF(AV26&gt;0,AV26/AV$99*1000, 0)</f>
        <v>19.942327986955107</v>
      </c>
      <c r="AY26" s="13">
        <f>SQRT(AX26)</f>
        <v>0</v>
      </c>
      <c r="AZ26" s="13">
        <f>IF(AY26&gt;0,AY26/AY$99*1000, 0)</f>
        <v>0</v>
      </c>
      <c r="BA26" s="27">
        <v>98</v>
      </c>
      <c r="BB26" s="13">
        <f>SQRT(BA26)</f>
        <v>9.8994949366116654</v>
      </c>
      <c r="BC26" s="13">
        <f>IF(BB26&gt;0,BB26/BB$99*1000, 0)</f>
        <v>22.941866214033904</v>
      </c>
      <c r="BD26" s="24">
        <v>0.11</v>
      </c>
      <c r="BE26" s="21">
        <f>SQRT(BD26)</f>
        <v>0.33166247903553997</v>
      </c>
      <c r="BF26" s="13">
        <f>IF(BE26&gt;0, BE26/BE$99*10000, 0)</f>
        <v>85.412235742367358</v>
      </c>
      <c r="BG26" s="27">
        <v>12</v>
      </c>
      <c r="BH26" s="13">
        <f>IF(BG26&gt;0, BG26/BG$99*2000, 0)</f>
        <v>33.379694019471486</v>
      </c>
      <c r="BI26" s="30">
        <v>0</v>
      </c>
      <c r="BJ26" s="30">
        <v>-50</v>
      </c>
      <c r="BK26" s="30">
        <f>BJ26+BI26</f>
        <v>-50</v>
      </c>
      <c r="BL26" s="3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</row>
    <row r="27" spans="1:90" s="6" customFormat="1" ht="20.100000000000001" customHeight="1" x14ac:dyDescent="0.25">
      <c r="A27" s="1"/>
      <c r="B27" s="1">
        <v>24</v>
      </c>
      <c r="C27" s="50">
        <v>23</v>
      </c>
      <c r="D27" s="51" t="str">
        <f>IF(C27&lt;B27,"▲"&amp;B27-C27,IF(C27&gt;B27,"▼"&amp;C27-B27,"—"))</f>
        <v>▲1</v>
      </c>
      <c r="E27" s="52" t="s">
        <v>112</v>
      </c>
      <c r="F27" s="53">
        <f>G27+O27+W27+AE27+BF27+BH27+BK27</f>
        <v>814.71168826924725</v>
      </c>
      <c r="G27" s="19">
        <f>IF(COUNTIF(H27:INDEX(H27:N27,$B$1),"&gt;0")=0,0,
SUMIF(H27:INDEX(H27:N27,$B$1),"&gt;0",H27:INDEX(H27:N27,$B$1))*$B$1/COUNTIF(H27:INDEX(H27:N27,$B$1),"&gt;0")*
IF($B$1-COUNTIF(H27:INDEX(H27:N27,$B$1),"&gt;0")&lt;=2,1,
IF($B$1-COUNTIF(H27:INDEX(H27:N27,$B$1),"&gt;0")=3,0.8,
IF($B$1-COUNTIF(H27:INDEX(H27:N27,$B$1),"&gt;0")=4,0.6,
IF($B$1-COUNTIF(H27:INDEX(H27:N27,$B$1),"&gt;0")=5,0.4,
IF($B$1-COUNTIF(H27:INDEX(H27:N27,$B$1),"&gt;0")=6,0.2,0))))))</f>
        <v>472</v>
      </c>
      <c r="H27" s="3">
        <v>61</v>
      </c>
      <c r="I27" s="3">
        <v>95</v>
      </c>
      <c r="J27" s="3">
        <v>61</v>
      </c>
      <c r="K27" s="3">
        <v>49</v>
      </c>
      <c r="L27" s="3">
        <v>75</v>
      </c>
      <c r="M27" s="3">
        <v>70</v>
      </c>
      <c r="N27" s="3">
        <v>61</v>
      </c>
      <c r="O27" s="13">
        <f>0.2*IF(COUNTIF(P27:INDEX(P27:V27,$B$1),"&gt;0")=0,0,
(SUMIF(P27:INDEX(P27:V27,$B$1),"&gt;0",P27:INDEX(P27:V27,$B$1))*$B$1/COUNTIF(P27:INDEX(P27:V27,$B$1),"&gt;0"))*
IF($B$1-COUNTIF(P27:INDEX(P27:V27,$B$1),"&gt;0")&lt;=2,1,
IF($B$1-COUNTIF(P27:INDEX(P27:V27,$B$1),"&gt;0")=3,0.8,
IF($B$1-COUNTIF(P27:INDEX(P27:V27,$B$1),"&gt;0")=4,0.6,
IF($B$1-COUNTIF(P27:INDEX(P27:V27,$B$1),"&gt;0")=5,0.4,
IF($B$1-COUNTIF(P27:INDEX(P27:V27,$B$1),"&gt;0")=6,0.2,0))))))</f>
        <v>74.8</v>
      </c>
      <c r="P27" s="3">
        <v>48</v>
      </c>
      <c r="Q27" s="3">
        <v>44</v>
      </c>
      <c r="R27" s="3">
        <v>58</v>
      </c>
      <c r="S27" s="3">
        <v>52</v>
      </c>
      <c r="T27" s="3">
        <v>54</v>
      </c>
      <c r="U27" s="3">
        <v>59</v>
      </c>
      <c r="V27" s="3">
        <v>59</v>
      </c>
      <c r="W27" s="3">
        <f>MIN(100,
IF($B$1&gt;=1,IFERROR(VALUE(SUBSTITUTE(SUBSTITUTE(TRIM(X27),"A",""),"B","")),0),0)+
IF($B$1&gt;=2,IFERROR(VALUE(SUBSTITUTE(SUBSTITUTE(TRIM(Y27),"A",""),"B","")),0),0)+
IF($B$1&gt;=3,IFERROR(VALUE(SUBSTITUTE(SUBSTITUTE(TRIM(Z27),"A",""),"B","")),0),0)+
IF($B$1&gt;=4,IFERROR(VALUE(SUBSTITUTE(SUBSTITUTE(TRIM(AA27),"A",""),"B","")),0),0)+
IF($B$1&gt;=5,IFERROR(VALUE(SUBSTITUTE(SUBSTITUTE(TRIM(AB27),"A",""),"B","")),0),0)+
IF($B$1&gt;=6,IFERROR(VALUE(SUBSTITUTE(SUBSTITUTE(TRIM(AC27),"A",""),"B","")),0),0)+
IF($B$1&gt;=7,IFERROR(VALUE(SUBSTITUTE(SUBSTITUTE(TRIM(AD27),"A",""),"B","")),0),0)
)</f>
        <v>100</v>
      </c>
      <c r="X27" s="3" t="s">
        <v>31</v>
      </c>
      <c r="Y27" s="3"/>
      <c r="Z27" s="3" t="s">
        <v>16</v>
      </c>
      <c r="AA27" s="3" t="s">
        <v>120</v>
      </c>
      <c r="AB27" s="3" t="s">
        <v>120</v>
      </c>
      <c r="AC27" s="3" t="s">
        <v>156</v>
      </c>
      <c r="AD27" s="3" t="s">
        <v>179</v>
      </c>
      <c r="AE27" s="13">
        <f>AH27+AK27+AN27+AQ27+AT27+AW27+AZ27+BC27</f>
        <v>32.01035006562438</v>
      </c>
      <c r="AF27" s="13"/>
      <c r="AG27" s="13">
        <f>SQRT(AF27)</f>
        <v>0</v>
      </c>
      <c r="AH27" s="13">
        <f>IF(AG27&gt;0,AG27/AG$99*1000, 0)</f>
        <v>0</v>
      </c>
      <c r="AI27" s="13"/>
      <c r="AJ27" s="13">
        <f>SQRT(AI27)</f>
        <v>0</v>
      </c>
      <c r="AK27" s="13">
        <f>IF(AJ27&gt;0,AJ27/AJ$99*1000, 0)</f>
        <v>0</v>
      </c>
      <c r="AL27" s="13"/>
      <c r="AM27" s="13">
        <f>SQRT(AL27)</f>
        <v>0</v>
      </c>
      <c r="AN27" s="13">
        <f>IF(AM27&gt;0,AM27/AM$99*1000, 0)</f>
        <v>0</v>
      </c>
      <c r="AO27" s="13"/>
      <c r="AP27" s="13">
        <f>SQRT(AO27)</f>
        <v>0</v>
      </c>
      <c r="AQ27" s="13">
        <f>IF(AP27&gt;0,AP27/AP$99*1000, 0)</f>
        <v>0</v>
      </c>
      <c r="AR27" s="13">
        <v>0.1</v>
      </c>
      <c r="AS27" s="13">
        <f>SQRT(AR27)</f>
        <v>0.31622776601683794</v>
      </c>
      <c r="AT27" s="13">
        <f>IF(AS27&gt;0,AS27/AS$99*1000, 0)</f>
        <v>17.908994713402151</v>
      </c>
      <c r="AU27" s="13">
        <v>0.1</v>
      </c>
      <c r="AV27" s="13">
        <f>SQRT(AU27)</f>
        <v>0.31622776601683794</v>
      </c>
      <c r="AW27" s="13">
        <f>IF(AV27&gt;0,AV27/AV$99*1000, 0)</f>
        <v>14.101355352222228</v>
      </c>
      <c r="AX27" s="13"/>
      <c r="AY27" s="13">
        <f>SQRT(AX27)</f>
        <v>0</v>
      </c>
      <c r="AZ27" s="13">
        <f>IF(AY27&gt;0,AY27/AY$99*1000, 0)</f>
        <v>0</v>
      </c>
      <c r="BA27" s="27"/>
      <c r="BB27" s="13">
        <f>SQRT(BA27)</f>
        <v>0</v>
      </c>
      <c r="BC27" s="13">
        <f>IF(BB27&gt;0,BB27/BB$99*1000, 0)</f>
        <v>0</v>
      </c>
      <c r="BD27" s="24">
        <v>0.15</v>
      </c>
      <c r="BE27" s="21">
        <f>SQRT(BD27)</f>
        <v>0.3872983346207417</v>
      </c>
      <c r="BF27" s="13">
        <f>IF(BE27&gt;0, BE27/BE$99*10000, 0)</f>
        <v>99.740003015862129</v>
      </c>
      <c r="BG27" s="27">
        <v>13</v>
      </c>
      <c r="BH27" s="13">
        <f>IF(BG27&gt;0, BG27/BG$99*2000, 0)</f>
        <v>36.161335187760784</v>
      </c>
      <c r="BI27" s="30">
        <v>0</v>
      </c>
      <c r="BJ27" s="30">
        <v>0</v>
      </c>
      <c r="BK27" s="30">
        <f>BJ27+BI27</f>
        <v>0</v>
      </c>
      <c r="BL27" s="3"/>
      <c r="BM27" s="1"/>
      <c r="BN27" s="1"/>
      <c r="BO27" s="1"/>
    </row>
    <row r="28" spans="1:90" s="6" customFormat="1" ht="20.100000000000001" customHeight="1" x14ac:dyDescent="0.25">
      <c r="A28" s="1"/>
      <c r="B28" s="1">
        <v>25</v>
      </c>
      <c r="C28" s="50">
        <v>24</v>
      </c>
      <c r="D28" s="51" t="str">
        <f>IF(C28&lt;B28,"▲"&amp;B28-C28,IF(C28&gt;B28,"▼"&amp;C28-B28,"—"))</f>
        <v>▲1</v>
      </c>
      <c r="E28" s="52" t="s">
        <v>46</v>
      </c>
      <c r="F28" s="53">
        <f>G28+O28+W28+AE28+BF28+BH28+BK28</f>
        <v>812.42709185513922</v>
      </c>
      <c r="G28" s="19">
        <f>IF(COUNTIF(H28:INDEX(H28:N28,$B$1),"&gt;0")=0,0,
SUMIF(H28:INDEX(H28:N28,$B$1),"&gt;0",H28:INDEX(H28:N28,$B$1))*$B$1/COUNTIF(H28:INDEX(H28:N28,$B$1),"&gt;0")*
IF($B$1-COUNTIF(H28:INDEX(H28:N28,$B$1),"&gt;0")&lt;=2,1,
IF($B$1-COUNTIF(H28:INDEX(H28:N28,$B$1),"&gt;0")=3,0.8,
IF($B$1-COUNTIF(H28:INDEX(H28:N28,$B$1),"&gt;0")=4,0.6,
IF($B$1-COUNTIF(H28:INDEX(H28:N28,$B$1),"&gt;0")=5,0.4,
IF($B$1-COUNTIF(H28:INDEX(H28:N28,$B$1),"&gt;0")=6,0.2,0))))))</f>
        <v>459</v>
      </c>
      <c r="H28" s="3">
        <v>48</v>
      </c>
      <c r="I28" s="3">
        <v>66</v>
      </c>
      <c r="J28" s="3">
        <v>70</v>
      </c>
      <c r="K28" s="3">
        <v>81</v>
      </c>
      <c r="L28" s="3">
        <v>74</v>
      </c>
      <c r="M28" s="3">
        <v>61</v>
      </c>
      <c r="N28" s="3">
        <v>59</v>
      </c>
      <c r="O28" s="13">
        <f>0.2*IF(COUNTIF(P28:INDEX(P28:V28,$B$1),"&gt;0")=0,0,
(SUMIF(P28:INDEX(P28:V28,$B$1),"&gt;0",P28:INDEX(P28:V28,$B$1))*$B$1/COUNTIF(P28:INDEX(P28:V28,$B$1),"&gt;0"))*
IF($B$1-COUNTIF(P28:INDEX(P28:V28,$B$1),"&gt;0")&lt;=2,1,
IF($B$1-COUNTIF(P28:INDEX(P28:V28,$B$1),"&gt;0")=3,0.8,
IF($B$1-COUNTIF(P28:INDEX(P28:V28,$B$1),"&gt;0")=4,0.6,
IF($B$1-COUNTIF(P28:INDEX(P28:V28,$B$1),"&gt;0")=5,0.4,
IF($B$1-COUNTIF(P28:INDEX(P28:V28,$B$1),"&gt;0")=6,0.2,0))))))</f>
        <v>66.600000000000009</v>
      </c>
      <c r="P28" s="3">
        <v>48</v>
      </c>
      <c r="Q28" s="3">
        <v>40</v>
      </c>
      <c r="R28" s="3">
        <v>43</v>
      </c>
      <c r="S28" s="3">
        <v>45</v>
      </c>
      <c r="T28" s="3">
        <v>53</v>
      </c>
      <c r="U28" s="3">
        <v>51</v>
      </c>
      <c r="V28" s="3">
        <v>53</v>
      </c>
      <c r="W28" s="3">
        <f>MIN(100,
IF($B$1&gt;=1,IFERROR(VALUE(SUBSTITUTE(SUBSTITUTE(TRIM(X28),"A",""),"B","")),0),0)+
IF($B$1&gt;=2,IFERROR(VALUE(SUBSTITUTE(SUBSTITUTE(TRIM(Y28),"A",""),"B","")),0),0)+
IF($B$1&gt;=3,IFERROR(VALUE(SUBSTITUTE(SUBSTITUTE(TRIM(Z28),"A",""),"B","")),0),0)+
IF($B$1&gt;=4,IFERROR(VALUE(SUBSTITUTE(SUBSTITUTE(TRIM(AA28),"A",""),"B","")),0),0)+
IF($B$1&gt;=5,IFERROR(VALUE(SUBSTITUTE(SUBSTITUTE(TRIM(AB28),"A",""),"B","")),0),0)+
IF($B$1&gt;=6,IFERROR(VALUE(SUBSTITUTE(SUBSTITUTE(TRIM(AC28),"A",""),"B","")),0),0)+
IF($B$1&gt;=7,IFERROR(VALUE(SUBSTITUTE(SUBSTITUTE(TRIM(AD28),"A",""),"B","")),0),0)
)</f>
        <v>20</v>
      </c>
      <c r="X28" s="3"/>
      <c r="Y28" s="3"/>
      <c r="Z28" s="3"/>
      <c r="AA28" s="3"/>
      <c r="AB28" s="3"/>
      <c r="AC28" s="3" t="s">
        <v>156</v>
      </c>
      <c r="AD28" s="3"/>
      <c r="AE28" s="13">
        <f>AH28+AK28+AN28+AQ28+AT28+AW28+AZ28+BC28</f>
        <v>95.961946575955423</v>
      </c>
      <c r="AF28" s="13">
        <v>0.9</v>
      </c>
      <c r="AG28" s="13">
        <f>SQRT(AF28)</f>
        <v>0.94868329805051377</v>
      </c>
      <c r="AH28" s="13">
        <f>IF(AG28&gt;0,AG28/AG$99*1000, 0)</f>
        <v>25.403285652626696</v>
      </c>
      <c r="AI28" s="13"/>
      <c r="AJ28" s="13">
        <f>SQRT(AI28)</f>
        <v>0</v>
      </c>
      <c r="AK28" s="13">
        <f>IF(AJ28&gt;0,AJ28/AJ$99*1000, 0)</f>
        <v>0</v>
      </c>
      <c r="AL28" s="13">
        <v>0.7</v>
      </c>
      <c r="AM28" s="13">
        <f>SQRT(AL28)</f>
        <v>0.83666002653407556</v>
      </c>
      <c r="AN28" s="13">
        <f>IF(AM28&gt;0,AM28/AM$99*1000, 0)</f>
        <v>33.871453685393725</v>
      </c>
      <c r="AO28" s="13"/>
      <c r="AP28" s="13">
        <f>SQRT(AO28)</f>
        <v>0</v>
      </c>
      <c r="AQ28" s="13">
        <f>IF(AP28&gt;0,AP28/AP$99*1000, 0)</f>
        <v>0</v>
      </c>
      <c r="AR28" s="13"/>
      <c r="AS28" s="13">
        <f>SQRT(AR28)</f>
        <v>0</v>
      </c>
      <c r="AT28" s="13">
        <f>IF(AS28&gt;0,AS28/AS$99*1000, 0)</f>
        <v>0</v>
      </c>
      <c r="AU28" s="13">
        <v>0.3</v>
      </c>
      <c r="AV28" s="13">
        <f>SQRT(AU28)</f>
        <v>0.54772255750516607</v>
      </c>
      <c r="AW28" s="13">
        <f>IF(AV28&gt;0,AV28/AV$99*1000, 0)</f>
        <v>24.424263925632218</v>
      </c>
      <c r="AX28" s="13"/>
      <c r="AY28" s="13">
        <f>SQRT(AX28)</f>
        <v>0</v>
      </c>
      <c r="AZ28" s="13">
        <f>IF(AY28&gt;0,AY28/AY$99*1000, 0)</f>
        <v>0</v>
      </c>
      <c r="BA28" s="27">
        <v>28</v>
      </c>
      <c r="BB28" s="13">
        <f>SQRT(BA28)</f>
        <v>5.2915026221291814</v>
      </c>
      <c r="BC28" s="13">
        <f>IF(BB28&gt;0,BB28/BB$99*1000, 0)</f>
        <v>12.262943312302783</v>
      </c>
      <c r="BD28" s="24">
        <v>0.21</v>
      </c>
      <c r="BE28" s="21">
        <f>SQRT(BD28)</f>
        <v>0.45825756949558399</v>
      </c>
      <c r="BF28" s="13">
        <f>IF(BE28&gt;0, BE28/BE$99*10000, 0)</f>
        <v>118.01396308168732</v>
      </c>
      <c r="BG28" s="27">
        <v>19</v>
      </c>
      <c r="BH28" s="13">
        <f>IF(BG28&gt;0, BG28/BG$99*2000, 0)</f>
        <v>52.85118219749652</v>
      </c>
      <c r="BI28" s="30">
        <v>0</v>
      </c>
      <c r="BJ28" s="30">
        <v>0</v>
      </c>
      <c r="BK28" s="30">
        <f>BJ28+BI28</f>
        <v>0</v>
      </c>
      <c r="BL28" s="3"/>
      <c r="BM28" s="1"/>
      <c r="BN28" s="1"/>
      <c r="BO28" s="1"/>
    </row>
    <row r="29" spans="1:90" s="6" customFormat="1" ht="20.100000000000001" customHeight="1" x14ac:dyDescent="0.25">
      <c r="A29" s="1"/>
      <c r="B29" s="1">
        <v>26</v>
      </c>
      <c r="C29" s="50">
        <v>25</v>
      </c>
      <c r="D29" s="51" t="str">
        <f>IF(C29&lt;B29,"▲"&amp;B29-C29,IF(C29&gt;B29,"▼"&amp;C29-B29,"—"))</f>
        <v>▲1</v>
      </c>
      <c r="E29" s="52" t="s">
        <v>33</v>
      </c>
      <c r="F29" s="53">
        <f>G29+O29+W29+AE29+BF29+BH29+BK29</f>
        <v>786.41105807488793</v>
      </c>
      <c r="G29" s="19">
        <f>IF(COUNTIF(H29:INDEX(H29:N29,$B$1),"&gt;0")=0,0,
SUMIF(H29:INDEX(H29:N29,$B$1),"&gt;0",H29:INDEX(H29:N29,$B$1))*$B$1/COUNTIF(H29:INDEX(H29:N29,$B$1),"&gt;0")*
IF($B$1-COUNTIF(H29:INDEX(H29:N29,$B$1),"&gt;0")&lt;=2,1,
IF($B$1-COUNTIF(H29:INDEX(H29:N29,$B$1),"&gt;0")=3,0.8,
IF($B$1-COUNTIF(H29:INDEX(H29:N29,$B$1),"&gt;0")=4,0.6,
IF($B$1-COUNTIF(H29:INDEX(H29:N29,$B$1),"&gt;0")=5,0.4,
IF($B$1-COUNTIF(H29:INDEX(H29:N29,$B$1),"&gt;0")=6,0.2,0))))))</f>
        <v>474</v>
      </c>
      <c r="H29" s="3">
        <v>50</v>
      </c>
      <c r="I29" s="3">
        <v>123</v>
      </c>
      <c r="J29" s="3">
        <v>65</v>
      </c>
      <c r="K29" s="3">
        <v>53</v>
      </c>
      <c r="L29" s="3">
        <v>61</v>
      </c>
      <c r="M29" s="3">
        <v>64</v>
      </c>
      <c r="N29" s="3">
        <v>58</v>
      </c>
      <c r="O29" s="13">
        <f>0.2*IF(COUNTIF(P29:INDEX(P29:V29,$B$1),"&gt;0")=0,0,
(SUMIF(P29:INDEX(P29:V29,$B$1),"&gt;0",P29:INDEX(P29:V29,$B$1))*$B$1/COUNTIF(P29:INDEX(P29:V29,$B$1),"&gt;0"))*
IF($B$1-COUNTIF(P29:INDEX(P29:V29,$B$1),"&gt;0")&lt;=2,1,
IF($B$1-COUNTIF(P29:INDEX(P29:V29,$B$1),"&gt;0")=3,0.8,
IF($B$1-COUNTIF(P29:INDEX(P29:V29,$B$1),"&gt;0")=4,0.6,
IF($B$1-COUNTIF(P29:INDEX(P29:V29,$B$1),"&gt;0")=5,0.4,
IF($B$1-COUNTIF(P29:INDEX(P29:V29,$B$1),"&gt;0")=6,0.2,0))))))</f>
        <v>84.4</v>
      </c>
      <c r="P29" s="3">
        <v>66</v>
      </c>
      <c r="Q29" s="3">
        <v>52</v>
      </c>
      <c r="R29" s="3">
        <v>60</v>
      </c>
      <c r="S29" s="3">
        <v>59</v>
      </c>
      <c r="T29" s="3">
        <v>59</v>
      </c>
      <c r="U29" s="3">
        <v>62</v>
      </c>
      <c r="V29" s="3">
        <v>64</v>
      </c>
      <c r="W29" s="3">
        <f>MIN(100,
IF($B$1&gt;=1,IFERROR(VALUE(SUBSTITUTE(SUBSTITUTE(TRIM(X29),"A",""),"B","")),0),0)+
IF($B$1&gt;=2,IFERROR(VALUE(SUBSTITUTE(SUBSTITUTE(TRIM(Y29),"A",""),"B","")),0),0)+
IF($B$1&gt;=3,IFERROR(VALUE(SUBSTITUTE(SUBSTITUTE(TRIM(Z29),"A",""),"B","")),0),0)+
IF($B$1&gt;=4,IFERROR(VALUE(SUBSTITUTE(SUBSTITUTE(TRIM(AA29),"A",""),"B","")),0),0)+
IF($B$1&gt;=5,IFERROR(VALUE(SUBSTITUTE(SUBSTITUTE(TRIM(AB29),"A",""),"B","")),0),0)+
IF($B$1&gt;=6,IFERROR(VALUE(SUBSTITUTE(SUBSTITUTE(TRIM(AC29),"A",""),"B","")),0),0)+
IF($B$1&gt;=7,IFERROR(VALUE(SUBSTITUTE(SUBSTITUTE(TRIM(AD29),"A",""),"B","")),0),0)
)</f>
        <v>20</v>
      </c>
      <c r="X29" s="3"/>
      <c r="Y29" s="3"/>
      <c r="Z29" s="3"/>
      <c r="AA29" s="3"/>
      <c r="AB29" s="3"/>
      <c r="AC29" s="3" t="s">
        <v>156</v>
      </c>
      <c r="AD29" s="3"/>
      <c r="AE29" s="13">
        <f>AH29+AK29+AN29+AQ29+AT29+AW29+AZ29+BC29</f>
        <v>24.424263925632218</v>
      </c>
      <c r="AF29" s="13"/>
      <c r="AG29" s="13">
        <f>SQRT(AF29)</f>
        <v>0</v>
      </c>
      <c r="AH29" s="13">
        <f>IF(AG29&gt;0,AG29/AG$99*1000, 0)</f>
        <v>0</v>
      </c>
      <c r="AI29" s="13"/>
      <c r="AJ29" s="13">
        <f>SQRT(AI29)</f>
        <v>0</v>
      </c>
      <c r="AK29" s="13">
        <f>IF(AJ29&gt;0,AJ29/AJ$99*1000, 0)</f>
        <v>0</v>
      </c>
      <c r="AL29" s="13"/>
      <c r="AM29" s="13">
        <f>SQRT(AL29)</f>
        <v>0</v>
      </c>
      <c r="AN29" s="13">
        <f>IF(AM29&gt;0,AM29/AM$99*1000, 0)</f>
        <v>0</v>
      </c>
      <c r="AO29" s="13"/>
      <c r="AP29" s="13">
        <f>SQRT(AO29)</f>
        <v>0</v>
      </c>
      <c r="AQ29" s="13">
        <f>IF(AP29&gt;0,AP29/AP$99*1000, 0)</f>
        <v>0</v>
      </c>
      <c r="AR29" s="13"/>
      <c r="AS29" s="13">
        <f>SQRT(AR29)</f>
        <v>0</v>
      </c>
      <c r="AT29" s="13">
        <f>IF(AS29&gt;0,AS29/AS$99*1000, 0)</f>
        <v>0</v>
      </c>
      <c r="AU29" s="13">
        <v>0.3</v>
      </c>
      <c r="AV29" s="13">
        <f>SQRT(AU29)</f>
        <v>0.54772255750516607</v>
      </c>
      <c r="AW29" s="13">
        <f>IF(AV29&gt;0,AV29/AV$99*1000, 0)</f>
        <v>24.424263925632218</v>
      </c>
      <c r="AX29" s="13"/>
      <c r="AY29" s="13">
        <f>SQRT(AX29)</f>
        <v>0</v>
      </c>
      <c r="AZ29" s="13">
        <f>IF(AY29&gt;0,AY29/AY$99*1000, 0)</f>
        <v>0</v>
      </c>
      <c r="BA29" s="27"/>
      <c r="BB29" s="13">
        <f>SQRT(BA29)</f>
        <v>0</v>
      </c>
      <c r="BC29" s="13">
        <f>IF(BB29&gt;0,BB29/BB$99*1000, 0)</f>
        <v>0</v>
      </c>
      <c r="BD29" s="24">
        <v>0.42</v>
      </c>
      <c r="BE29" s="21">
        <f>SQRT(BD29)</f>
        <v>0.64807406984078597</v>
      </c>
      <c r="BF29" s="13">
        <f>IF(BE29&gt;0, BE29/BE$99*10000, 0)</f>
        <v>166.89694713951994</v>
      </c>
      <c r="BG29" s="27">
        <v>6</v>
      </c>
      <c r="BH29" s="13">
        <f>IF(BG29&gt;0, BG29/BG$99*2000, 0)</f>
        <v>16.689847009735743</v>
      </c>
      <c r="BI29" s="30">
        <v>0</v>
      </c>
      <c r="BJ29" s="30">
        <v>0</v>
      </c>
      <c r="BK29" s="30">
        <f>BJ29+BI29</f>
        <v>0</v>
      </c>
      <c r="BL29" s="3"/>
      <c r="BM29" s="1"/>
      <c r="BN29" s="1"/>
      <c r="BO29" s="1"/>
    </row>
    <row r="30" spans="1:90" s="6" customFormat="1" ht="20.100000000000001" customHeight="1" x14ac:dyDescent="0.25">
      <c r="A30" s="1"/>
      <c r="B30" s="1">
        <v>28</v>
      </c>
      <c r="C30" s="50">
        <v>26</v>
      </c>
      <c r="D30" s="51" t="str">
        <f>IF(C30&lt;B30,"▲"&amp;B30-C30,IF(C30&gt;B30,"▼"&amp;C30-B30,"—"))</f>
        <v>▲2</v>
      </c>
      <c r="E30" s="52" t="s">
        <v>38</v>
      </c>
      <c r="F30" s="53">
        <f>G30+O30+W30+AE30+BF30+BH30+BK30</f>
        <v>776.07078660125228</v>
      </c>
      <c r="G30" s="19">
        <f>IF(COUNTIF(H30:INDEX(H30:N30,$B$1),"&gt;0")=0,0,
SUMIF(H30:INDEX(H30:N30,$B$1),"&gt;0",H30:INDEX(H30:N30,$B$1))*$B$1/COUNTIF(H30:INDEX(H30:N30,$B$1),"&gt;0")*
IF($B$1-COUNTIF(H30:INDEX(H30:N30,$B$1),"&gt;0")&lt;=2,1,
IF($B$1-COUNTIF(H30:INDEX(H30:N30,$B$1),"&gt;0")=3,0.8,
IF($B$1-COUNTIF(H30:INDEX(H30:N30,$B$1),"&gt;0")=4,0.6,
IF($B$1-COUNTIF(H30:INDEX(H30:N30,$B$1),"&gt;0")=5,0.4,
IF($B$1-COUNTIF(H30:INDEX(H30:N30,$B$1),"&gt;0")=6,0.2,0))))))</f>
        <v>452</v>
      </c>
      <c r="H30" s="3">
        <v>61</v>
      </c>
      <c r="I30" s="3">
        <v>60</v>
      </c>
      <c r="J30" s="3">
        <v>54</v>
      </c>
      <c r="K30" s="3">
        <v>56</v>
      </c>
      <c r="L30" s="3">
        <v>74</v>
      </c>
      <c r="M30" s="3">
        <v>66</v>
      </c>
      <c r="N30" s="3">
        <v>81</v>
      </c>
      <c r="O30" s="13">
        <f>0.2*IF(COUNTIF(P30:INDEX(P30:V30,$B$1),"&gt;0")=0,0,
(SUMIF(P30:INDEX(P30:V30,$B$1),"&gt;0",P30:INDEX(P30:V30,$B$1))*$B$1/COUNTIF(P30:INDEX(P30:V30,$B$1),"&gt;0"))*
IF($B$1-COUNTIF(P30:INDEX(P30:V30,$B$1),"&gt;0")&lt;=2,1,
IF($B$1-COUNTIF(P30:INDEX(P30:V30,$B$1),"&gt;0")=3,0.8,
IF($B$1-COUNTIF(P30:INDEX(P30:V30,$B$1),"&gt;0")=4,0.6,
IF($B$1-COUNTIF(P30:INDEX(P30:V30,$B$1),"&gt;0")=5,0.4,
IF($B$1-COUNTIF(P30:INDEX(P30:V30,$B$1),"&gt;0")=6,0.2,0))))))</f>
        <v>61</v>
      </c>
      <c r="P30" s="3">
        <v>53</v>
      </c>
      <c r="Q30" s="3">
        <v>35</v>
      </c>
      <c r="R30" s="3">
        <v>39</v>
      </c>
      <c r="S30" s="3">
        <v>35</v>
      </c>
      <c r="T30" s="3">
        <v>46</v>
      </c>
      <c r="U30" s="3">
        <v>48</v>
      </c>
      <c r="V30" s="3">
        <v>49</v>
      </c>
      <c r="W30" s="3">
        <f>MIN(100,
IF($B$1&gt;=1,IFERROR(VALUE(SUBSTITUTE(SUBSTITUTE(TRIM(X30),"A",""),"B","")),0),0)+
IF($B$1&gt;=2,IFERROR(VALUE(SUBSTITUTE(SUBSTITUTE(TRIM(Y30),"A",""),"B","")),0),0)+
IF($B$1&gt;=3,IFERROR(VALUE(SUBSTITUTE(SUBSTITUTE(TRIM(Z30),"A",""),"B","")),0),0)+
IF($B$1&gt;=4,IFERROR(VALUE(SUBSTITUTE(SUBSTITUTE(TRIM(AA30),"A",""),"B","")),0),0)+
IF($B$1&gt;=5,IFERROR(VALUE(SUBSTITUTE(SUBSTITUTE(TRIM(AB30),"A",""),"B","")),0),0)+
IF($B$1&gt;=6,IFERROR(VALUE(SUBSTITUTE(SUBSTITUTE(TRIM(AC30),"A",""),"B","")),0),0)+
IF($B$1&gt;=7,IFERROR(VALUE(SUBSTITUTE(SUBSTITUTE(TRIM(AD30),"A",""),"B","")),0),0)
)</f>
        <v>100</v>
      </c>
      <c r="X30" s="3" t="s">
        <v>16</v>
      </c>
      <c r="Y30" s="3" t="s">
        <v>16</v>
      </c>
      <c r="Z30" s="3" t="s">
        <v>31</v>
      </c>
      <c r="AA30" s="3" t="s">
        <v>120</v>
      </c>
      <c r="AB30" s="3" t="s">
        <v>120</v>
      </c>
      <c r="AC30" s="3" t="s">
        <v>156</v>
      </c>
      <c r="AD30" s="3"/>
      <c r="AE30" s="13">
        <f>AH30+AK30+AN30+AQ30+AT30+AW30+AZ30+BC30</f>
        <v>78.851773988790455</v>
      </c>
      <c r="AF30" s="13"/>
      <c r="AG30" s="13">
        <f>SQRT(AF30)</f>
        <v>0</v>
      </c>
      <c r="AH30" s="13">
        <f>IF(AG30&gt;0,AG30/AG$99*1000, 0)</f>
        <v>0</v>
      </c>
      <c r="AI30" s="13">
        <v>0.2</v>
      </c>
      <c r="AJ30" s="13">
        <f>SQRT(AI30)</f>
        <v>0.44721359549995793</v>
      </c>
      <c r="AK30" s="13">
        <f>IF(AJ30&gt;0,AJ30/AJ$99*1000, 0)</f>
        <v>13.228145139581317</v>
      </c>
      <c r="AL30" s="13"/>
      <c r="AM30" s="13">
        <f>SQRT(AL30)</f>
        <v>0</v>
      </c>
      <c r="AN30" s="13">
        <f>IF(AM30&gt;0,AM30/AM$99*1000, 0)</f>
        <v>0</v>
      </c>
      <c r="AO30" s="13"/>
      <c r="AP30" s="13">
        <f>SQRT(AO30)</f>
        <v>0</v>
      </c>
      <c r="AQ30" s="13">
        <f>IF(AP30&gt;0,AP30/AP$99*1000, 0)</f>
        <v>0</v>
      </c>
      <c r="AR30" s="13">
        <v>0.1</v>
      </c>
      <c r="AS30" s="13">
        <f>SQRT(AR30)</f>
        <v>0.31622776601683794</v>
      </c>
      <c r="AT30" s="13">
        <f>IF(AS30&gt;0,AS30/AS$99*1000, 0)</f>
        <v>17.908994713402151</v>
      </c>
      <c r="AU30" s="13">
        <v>0.3</v>
      </c>
      <c r="AV30" s="13">
        <f>SQRT(AU30)</f>
        <v>0.54772255750516607</v>
      </c>
      <c r="AW30" s="13">
        <f>IF(AV30&gt;0,AV30/AV$99*1000, 0)</f>
        <v>24.424263925632218</v>
      </c>
      <c r="AX30" s="13"/>
      <c r="AY30" s="13">
        <f>SQRT(AX30)</f>
        <v>0</v>
      </c>
      <c r="AZ30" s="13">
        <f>IF(AY30&gt;0,AY30/AY$99*1000, 0)</f>
        <v>0</v>
      </c>
      <c r="BA30" s="27">
        <v>101</v>
      </c>
      <c r="BB30" s="13">
        <f>SQRT(BA30)</f>
        <v>10.04987562112089</v>
      </c>
      <c r="BC30" s="13">
        <f>IF(BB30&gt;0,BB30/BB$99*1000, 0)</f>
        <v>23.290370210174775</v>
      </c>
      <c r="BD30" s="24">
        <v>0.1</v>
      </c>
      <c r="BE30" s="21">
        <f>SQRT(BD30)</f>
        <v>0.31622776601683794</v>
      </c>
      <c r="BF30" s="13">
        <f>IF(BE30&gt;0, BE30/BE$99*10000, 0)</f>
        <v>81.437371444172513</v>
      </c>
      <c r="BG30" s="27">
        <v>1</v>
      </c>
      <c r="BH30" s="13">
        <f>IF(BG30&gt;0, BG30/BG$99*2000, 0)</f>
        <v>2.7816411682892905</v>
      </c>
      <c r="BI30" s="30">
        <v>0</v>
      </c>
      <c r="BJ30" s="30">
        <v>0</v>
      </c>
      <c r="BK30" s="30">
        <f>BJ30+BI30</f>
        <v>0</v>
      </c>
      <c r="BL30" s="3"/>
      <c r="BM30" s="1"/>
      <c r="BN30" s="1"/>
      <c r="BO30" s="1"/>
    </row>
    <row r="31" spans="1:90" s="6" customFormat="1" ht="20.100000000000001" customHeight="1" x14ac:dyDescent="0.25">
      <c r="A31" s="1"/>
      <c r="B31" s="1">
        <v>27</v>
      </c>
      <c r="C31" s="50">
        <v>27</v>
      </c>
      <c r="D31" s="51" t="str">
        <f>IF(C31&lt;B31,"▲"&amp;B31-C31,IF(C31&gt;B31,"▼"&amp;C31-B31,"—"))</f>
        <v>—</v>
      </c>
      <c r="E31" s="52" t="s">
        <v>45</v>
      </c>
      <c r="F31" s="53">
        <f>G31+O31+W31+AE31+BF31+BH31+BK31</f>
        <v>774.86497818347993</v>
      </c>
      <c r="G31" s="19">
        <f>IF(COUNTIF(H31:INDEX(H31:N31,$B$1),"&gt;0")=0,0,
SUMIF(H31:INDEX(H31:N31,$B$1),"&gt;0",H31:INDEX(H31:N31,$B$1))*$B$1/COUNTIF(H31:INDEX(H31:N31,$B$1),"&gt;0")*
IF($B$1-COUNTIF(H31:INDEX(H31:N31,$B$1),"&gt;0")&lt;=2,1,
IF($B$1-COUNTIF(H31:INDEX(H31:N31,$B$1),"&gt;0")=3,0.8,
IF($B$1-COUNTIF(H31:INDEX(H31:N31,$B$1),"&gt;0")=4,0.6,
IF($B$1-COUNTIF(H31:INDEX(H31:N31,$B$1),"&gt;0")=5,0.4,
IF($B$1-COUNTIF(H31:INDEX(H31:N31,$B$1),"&gt;0")=6,0.2,0))))))</f>
        <v>441</v>
      </c>
      <c r="H31" s="3">
        <v>54</v>
      </c>
      <c r="I31" s="3">
        <v>56</v>
      </c>
      <c r="J31" s="3">
        <v>52</v>
      </c>
      <c r="K31" s="3">
        <v>55</v>
      </c>
      <c r="L31" s="3">
        <v>55</v>
      </c>
      <c r="M31" s="3">
        <v>57</v>
      </c>
      <c r="N31" s="3">
        <v>112</v>
      </c>
      <c r="O31" s="13">
        <f>0.2*IF(COUNTIF(P31:INDEX(P31:V31,$B$1),"&gt;0")=0,0,
(SUMIF(P31:INDEX(P31:V31,$B$1),"&gt;0",P31:INDEX(P31:V31,$B$1))*$B$1/COUNTIF(P31:INDEX(P31:V31,$B$1),"&gt;0"))*
IF($B$1-COUNTIF(P31:INDEX(P31:V31,$B$1),"&gt;0")&lt;=2,1,
IF($B$1-COUNTIF(P31:INDEX(P31:V31,$B$1),"&gt;0")=3,0.8,
IF($B$1-COUNTIF(P31:INDEX(P31:V31,$B$1),"&gt;0")=4,0.6,
IF($B$1-COUNTIF(P31:INDEX(P31:V31,$B$1),"&gt;0")=5,0.4,
IF($B$1-COUNTIF(P31:INDEX(P31:V31,$B$1),"&gt;0")=6,0.2,0))))))</f>
        <v>40.200000000000003</v>
      </c>
      <c r="P31" s="3">
        <v>27</v>
      </c>
      <c r="Q31" s="3">
        <v>27</v>
      </c>
      <c r="R31" s="3">
        <v>30</v>
      </c>
      <c r="S31" s="3">
        <v>30</v>
      </c>
      <c r="T31" s="3">
        <v>27</v>
      </c>
      <c r="U31" s="3">
        <v>32</v>
      </c>
      <c r="V31" s="3">
        <v>28</v>
      </c>
      <c r="W31" s="3">
        <f>MIN(100,
IF($B$1&gt;=1,IFERROR(VALUE(SUBSTITUTE(SUBSTITUTE(TRIM(X31),"A",""),"B","")),0),0)+
IF($B$1&gt;=2,IFERROR(VALUE(SUBSTITUTE(SUBSTITUTE(TRIM(Y31),"A",""),"B","")),0),0)+
IF($B$1&gt;=3,IFERROR(VALUE(SUBSTITUTE(SUBSTITUTE(TRIM(Z31),"A",""),"B","")),0),0)+
IF($B$1&gt;=4,IFERROR(VALUE(SUBSTITUTE(SUBSTITUTE(TRIM(AA31),"A",""),"B","")),0),0)+
IF($B$1&gt;=5,IFERROR(VALUE(SUBSTITUTE(SUBSTITUTE(TRIM(AB31),"A",""),"B","")),0),0)+
IF($B$1&gt;=6,IFERROR(VALUE(SUBSTITUTE(SUBSTITUTE(TRIM(AC31),"A",""),"B","")),0),0)+
IF($B$1&gt;=7,IFERROR(VALUE(SUBSTITUTE(SUBSTITUTE(TRIM(AD31),"A",""),"B","")),0),0)
)</f>
        <v>100</v>
      </c>
      <c r="X31" s="3"/>
      <c r="Y31" s="3" t="s">
        <v>16</v>
      </c>
      <c r="Z31" s="3" t="s">
        <v>16</v>
      </c>
      <c r="AA31" s="3" t="s">
        <v>120</v>
      </c>
      <c r="AB31" s="3" t="s">
        <v>120</v>
      </c>
      <c r="AC31" s="3" t="s">
        <v>156</v>
      </c>
      <c r="AD31" s="3" t="s">
        <v>180</v>
      </c>
      <c r="AE31" s="13">
        <f>AH31+AK31+AN31+AQ31+AT31+AW31+AZ31+BC31</f>
        <v>98.540660268983686</v>
      </c>
      <c r="AF31" s="13"/>
      <c r="AG31" s="13">
        <f>SQRT(AF31)</f>
        <v>0</v>
      </c>
      <c r="AH31" s="13">
        <f>IF(AG31&gt;0,AG31/AG$99*1000, 0)</f>
        <v>0</v>
      </c>
      <c r="AI31" s="13">
        <v>1.2</v>
      </c>
      <c r="AJ31" s="13">
        <f>SQRT(AI31)</f>
        <v>1.0954451150103321</v>
      </c>
      <c r="AK31" s="13">
        <f>IF(AJ31&gt;0,AJ31/AJ$99*1000, 0)</f>
        <v>32.402205835451589</v>
      </c>
      <c r="AL31" s="13"/>
      <c r="AM31" s="13">
        <f>SQRT(AL31)</f>
        <v>0</v>
      </c>
      <c r="AN31" s="13">
        <f>IF(AM31&gt;0,AM31/AM$99*1000, 0)</f>
        <v>0</v>
      </c>
      <c r="AO31" s="13"/>
      <c r="AP31" s="13">
        <f>SQRT(AO31)</f>
        <v>0</v>
      </c>
      <c r="AQ31" s="13">
        <f>IF(AP31&gt;0,AP31/AP$99*1000, 0)</f>
        <v>0</v>
      </c>
      <c r="AR31" s="13">
        <v>0.2</v>
      </c>
      <c r="AS31" s="13">
        <f>SQRT(AR31)</f>
        <v>0.44721359549995793</v>
      </c>
      <c r="AT31" s="13">
        <f>IF(AS31&gt;0,AS31/AS$99*1000, 0)</f>
        <v>25.327143212161378</v>
      </c>
      <c r="AU31" s="13">
        <v>0.3</v>
      </c>
      <c r="AV31" s="13">
        <f>SQRT(AU31)</f>
        <v>0.54772255750516607</v>
      </c>
      <c r="AW31" s="13">
        <f>IF(AV31&gt;0,AV31/AV$99*1000, 0)</f>
        <v>24.424263925632218</v>
      </c>
      <c r="AX31" s="13"/>
      <c r="AY31" s="13">
        <f>SQRT(AX31)</f>
        <v>0</v>
      </c>
      <c r="AZ31" s="13">
        <f>IF(AY31&gt;0,AY31/AY$99*1000, 0)</f>
        <v>0</v>
      </c>
      <c r="BA31" s="27">
        <v>50</v>
      </c>
      <c r="BB31" s="13">
        <f>SQRT(BA31)</f>
        <v>7.0710678118654755</v>
      </c>
      <c r="BC31" s="13">
        <f>IF(BB31&gt;0,BB31/BB$99*1000, 0)</f>
        <v>16.387047295738505</v>
      </c>
      <c r="BD31" s="24">
        <v>0.17</v>
      </c>
      <c r="BE31" s="21">
        <f>SQRT(BD31)</f>
        <v>0.41231056256176607</v>
      </c>
      <c r="BF31" s="13">
        <f>IF(BE31&gt;0, BE31/BE$99*10000, 0)</f>
        <v>106.18134155844618</v>
      </c>
      <c r="BG31" s="27">
        <v>14</v>
      </c>
      <c r="BH31" s="13">
        <f>IF(BG31&gt;0, BG31/BG$99*2000, 0)</f>
        <v>38.942976356050067</v>
      </c>
      <c r="BI31" s="30">
        <v>0</v>
      </c>
      <c r="BJ31" s="30">
        <v>-50</v>
      </c>
      <c r="BK31" s="30">
        <f>BJ31+BI31</f>
        <v>-50</v>
      </c>
      <c r="BL31" s="3"/>
      <c r="BM31" s="1"/>
      <c r="BN31" s="1"/>
      <c r="BO31" s="1"/>
    </row>
    <row r="32" spans="1:90" s="6" customFormat="1" ht="20.100000000000001" customHeight="1" x14ac:dyDescent="0.25">
      <c r="A32" s="1"/>
      <c r="B32" s="1">
        <v>21</v>
      </c>
      <c r="C32" s="50">
        <v>28</v>
      </c>
      <c r="D32" s="51" t="str">
        <f>IF(C32&lt;B32,"▲"&amp;B32-C32,IF(C32&gt;B32,"▼"&amp;C32-B32,"—"))</f>
        <v>▼7</v>
      </c>
      <c r="E32" s="52" t="s">
        <v>22</v>
      </c>
      <c r="F32" s="53">
        <f>G32+O32+W32+AE32+BF32+BH32+BK32</f>
        <v>773.65013888694125</v>
      </c>
      <c r="G32" s="19">
        <f>IF(COUNTIF(H32:INDEX(H32:N32,$B$1),"&gt;0")=0,0,
SUMIF(H32:INDEX(H32:N32,$B$1),"&gt;0",H32:INDEX(H32:N32,$B$1))*$B$1/COUNTIF(H32:INDEX(H32:N32,$B$1),"&gt;0")*
IF($B$1-COUNTIF(H32:INDEX(H32:N32,$B$1),"&gt;0")&lt;=2,1,
IF($B$1-COUNTIF(H32:INDEX(H32:N32,$B$1),"&gt;0")=3,0.8,
IF($B$1-COUNTIF(H32:INDEX(H32:N32,$B$1),"&gt;0")=4,0.6,
IF($B$1-COUNTIF(H32:INDEX(H32:N32,$B$1),"&gt;0")=5,0.4,
IF($B$1-COUNTIF(H32:INDEX(H32:N32,$B$1),"&gt;0")=6,0.2,0))))))</f>
        <v>485</v>
      </c>
      <c r="H32" s="3">
        <v>73</v>
      </c>
      <c r="I32" s="3">
        <v>76</v>
      </c>
      <c r="J32" s="3">
        <v>79</v>
      </c>
      <c r="K32" s="3">
        <v>103</v>
      </c>
      <c r="L32" s="3">
        <v>59</v>
      </c>
      <c r="M32" s="3">
        <v>53</v>
      </c>
      <c r="N32" s="3">
        <v>42</v>
      </c>
      <c r="O32" s="13">
        <f>0.2*IF(COUNTIF(P32:INDEX(P32:V32,$B$1),"&gt;0")=0,0,
(SUMIF(P32:INDEX(P32:V32,$B$1),"&gt;0",P32:INDEX(P32:V32,$B$1))*$B$1/COUNTIF(P32:INDEX(P32:V32,$B$1),"&gt;0"))*
IF($B$1-COUNTIF(P32:INDEX(P32:V32,$B$1),"&gt;0")&lt;=2,1,
IF($B$1-COUNTIF(P32:INDEX(P32:V32,$B$1),"&gt;0")=3,0.8,
IF($B$1-COUNTIF(P32:INDEX(P32:V32,$B$1),"&gt;0")=4,0.6,
IF($B$1-COUNTIF(P32:INDEX(P32:V32,$B$1),"&gt;0")=5,0.4,
IF($B$1-COUNTIF(P32:INDEX(P32:V32,$B$1),"&gt;0")=6,0.2,0))))))</f>
        <v>65.600000000000009</v>
      </c>
      <c r="P32" s="3">
        <v>49</v>
      </c>
      <c r="Q32" s="3">
        <v>37</v>
      </c>
      <c r="R32" s="3">
        <v>49</v>
      </c>
      <c r="S32" s="3">
        <v>48</v>
      </c>
      <c r="T32" s="3">
        <v>48</v>
      </c>
      <c r="U32" s="3">
        <v>49</v>
      </c>
      <c r="V32" s="3">
        <v>48</v>
      </c>
      <c r="W32" s="3">
        <f>MIN(100,
IF($B$1&gt;=1,IFERROR(VALUE(SUBSTITUTE(SUBSTITUTE(TRIM(X32),"A",""),"B","")),0),0)+
IF($B$1&gt;=2,IFERROR(VALUE(SUBSTITUTE(SUBSTITUTE(TRIM(Y32),"A",""),"B","")),0),0)+
IF($B$1&gt;=3,IFERROR(VALUE(SUBSTITUTE(SUBSTITUTE(TRIM(Z32),"A",""),"B","")),0),0)+
IF($B$1&gt;=4,IFERROR(VALUE(SUBSTITUTE(SUBSTITUTE(TRIM(AA32),"A",""),"B","")),0),0)+
IF($B$1&gt;=5,IFERROR(VALUE(SUBSTITUTE(SUBSTITUTE(TRIM(AB32),"A",""),"B","")),0),0)+
IF($B$1&gt;=6,IFERROR(VALUE(SUBSTITUTE(SUBSTITUTE(TRIM(AC32),"A",""),"B","")),0),0)+
IF($B$1&gt;=7,IFERROR(VALUE(SUBSTITUTE(SUBSTITUTE(TRIM(AD32),"A",""),"B","")),0),0)
)</f>
        <v>100</v>
      </c>
      <c r="X32" s="3" t="s">
        <v>16</v>
      </c>
      <c r="Y32" s="3" t="s">
        <v>16</v>
      </c>
      <c r="Z32" s="3" t="s">
        <v>16</v>
      </c>
      <c r="AA32" s="3" t="s">
        <v>121</v>
      </c>
      <c r="AB32" s="3" t="s">
        <v>120</v>
      </c>
      <c r="AC32" s="3" t="s">
        <v>156</v>
      </c>
      <c r="AD32" s="3" t="s">
        <v>179</v>
      </c>
      <c r="AE32" s="13">
        <f>AH32+AK32+AN32+AQ32+AT32+AW32+AZ32+BC32</f>
        <v>24.635133876325121</v>
      </c>
      <c r="AF32" s="13"/>
      <c r="AG32" s="13">
        <f>SQRT(AF32)</f>
        <v>0</v>
      </c>
      <c r="AH32" s="13">
        <f>IF(AG32&gt;0,AG32/AG$99*1000, 0)</f>
        <v>0</v>
      </c>
      <c r="AI32" s="13"/>
      <c r="AJ32" s="13">
        <f>SQRT(AI32)</f>
        <v>0</v>
      </c>
      <c r="AK32" s="13">
        <f>IF(AJ32&gt;0,AJ32/AJ$99*1000, 0)</f>
        <v>0</v>
      </c>
      <c r="AL32" s="13"/>
      <c r="AM32" s="13">
        <f>SQRT(AL32)</f>
        <v>0</v>
      </c>
      <c r="AN32" s="13">
        <f>IF(AM32&gt;0,AM32/AM$99*1000, 0)</f>
        <v>0</v>
      </c>
      <c r="AO32" s="13"/>
      <c r="AP32" s="13">
        <f>SQRT(AO32)</f>
        <v>0</v>
      </c>
      <c r="AQ32" s="13">
        <f>IF(AP32&gt;0,AP32/AP$99*1000, 0)</f>
        <v>0</v>
      </c>
      <c r="AR32" s="13"/>
      <c r="AS32" s="13">
        <f>SQRT(AR32)</f>
        <v>0</v>
      </c>
      <c r="AT32" s="13">
        <f>IF(AS32&gt;0,AS32/AS$99*1000, 0)</f>
        <v>0</v>
      </c>
      <c r="AU32" s="13"/>
      <c r="AV32" s="13">
        <f>SQRT(AU32)</f>
        <v>0</v>
      </c>
      <c r="AW32" s="13">
        <f>IF(AV32&gt;0,AV32/AV$99*1000, 0)</f>
        <v>0</v>
      </c>
      <c r="AX32" s="13"/>
      <c r="AY32" s="13">
        <f>SQRT(AX32)</f>
        <v>0</v>
      </c>
      <c r="AZ32" s="13">
        <f>IF(AY32&gt;0,AY32/AY$99*1000, 0)</f>
        <v>0</v>
      </c>
      <c r="BA32" s="27">
        <v>113</v>
      </c>
      <c r="BB32" s="13">
        <f>SQRT(BA32)</f>
        <v>10.63014581273465</v>
      </c>
      <c r="BC32" s="13">
        <f>IF(BB32&gt;0,BB32/BB$99*1000, 0)</f>
        <v>24.635133876325121</v>
      </c>
      <c r="BD32" s="24">
        <v>0.19</v>
      </c>
      <c r="BE32" s="21">
        <f>SQRT(BD32)</f>
        <v>0.43588989435406733</v>
      </c>
      <c r="BF32" s="13">
        <f>IF(BE32&gt;0, BE32/BE$99*10000, 0)</f>
        <v>112.25366982285539</v>
      </c>
      <c r="BG32" s="27">
        <v>13</v>
      </c>
      <c r="BH32" s="13">
        <f>IF(BG32&gt;0, BG32/BG$99*2000, 0)</f>
        <v>36.161335187760784</v>
      </c>
      <c r="BI32" s="30">
        <v>-50</v>
      </c>
      <c r="BJ32" s="30">
        <v>0</v>
      </c>
      <c r="BK32" s="30">
        <f>BJ32+BI32</f>
        <v>-50</v>
      </c>
      <c r="BL32" s="3"/>
      <c r="BM32" s="1"/>
      <c r="BN32" s="1"/>
      <c r="BO32" s="1"/>
    </row>
    <row r="33" spans="1:67" s="6" customFormat="1" ht="20.100000000000001" customHeight="1" x14ac:dyDescent="0.25">
      <c r="A33" s="1"/>
      <c r="B33" s="1">
        <v>31</v>
      </c>
      <c r="C33" s="50">
        <v>29</v>
      </c>
      <c r="D33" s="51" t="str">
        <f>IF(C33&lt;B33,"▲"&amp;B33-C33,IF(C33&gt;B33,"▼"&amp;C33-B33,"—"))</f>
        <v>▲2</v>
      </c>
      <c r="E33" s="52" t="s">
        <v>47</v>
      </c>
      <c r="F33" s="53">
        <f>G33+O33+W33+AE33+BF33+BH33+BK33</f>
        <v>741.94476892300781</v>
      </c>
      <c r="G33" s="19">
        <f>IF(COUNTIF(H33:INDEX(H33:N33,$B$1),"&gt;0")=0,0,
SUMIF(H33:INDEX(H33:N33,$B$1),"&gt;0",H33:INDEX(H33:N33,$B$1))*$B$1/COUNTIF(H33:INDEX(H33:N33,$B$1),"&gt;0")*
IF($B$1-COUNTIF(H33:INDEX(H33:N33,$B$1),"&gt;0")&lt;=2,1,
IF($B$1-COUNTIF(H33:INDEX(H33:N33,$B$1),"&gt;0")=3,0.8,
IF($B$1-COUNTIF(H33:INDEX(H33:N33,$B$1),"&gt;0")=4,0.6,
IF($B$1-COUNTIF(H33:INDEX(H33:N33,$B$1),"&gt;0")=5,0.4,
IF($B$1-COUNTIF(H33:INDEX(H33:N33,$B$1),"&gt;0")=6,0.2,0))))))</f>
        <v>383</v>
      </c>
      <c r="H33" s="3">
        <v>65</v>
      </c>
      <c r="I33" s="3">
        <v>55</v>
      </c>
      <c r="J33" s="3">
        <v>63</v>
      </c>
      <c r="K33" s="3">
        <v>48</v>
      </c>
      <c r="L33" s="3">
        <v>41</v>
      </c>
      <c r="M33" s="3">
        <v>66</v>
      </c>
      <c r="N33" s="3">
        <v>45</v>
      </c>
      <c r="O33" s="13">
        <f>0.2*IF(COUNTIF(P33:INDEX(P33:V33,$B$1),"&gt;0")=0,0,
(SUMIF(P33:INDEX(P33:V33,$B$1),"&gt;0",P33:INDEX(P33:V33,$B$1))*$B$1/COUNTIF(P33:INDEX(P33:V33,$B$1),"&gt;0"))*
IF($B$1-COUNTIF(P33:INDEX(P33:V33,$B$1),"&gt;0")&lt;=2,1,
IF($B$1-COUNTIF(P33:INDEX(P33:V33,$B$1),"&gt;0")=3,0.8,
IF($B$1-COUNTIF(P33:INDEX(P33:V33,$B$1),"&gt;0")=4,0.6,
IF($B$1-COUNTIF(P33:INDEX(P33:V33,$B$1),"&gt;0")=5,0.4,
IF($B$1-COUNTIF(P33:INDEX(P33:V33,$B$1),"&gt;0")=6,0.2,0))))))</f>
        <v>63.2</v>
      </c>
      <c r="P33" s="3">
        <v>48</v>
      </c>
      <c r="Q33" s="3">
        <v>39</v>
      </c>
      <c r="R33" s="3">
        <v>49</v>
      </c>
      <c r="S33" s="3">
        <v>47</v>
      </c>
      <c r="T33" s="3">
        <v>40</v>
      </c>
      <c r="U33" s="3">
        <v>45</v>
      </c>
      <c r="V33" s="3">
        <v>48</v>
      </c>
      <c r="W33" s="3">
        <f>MIN(100,
IF($B$1&gt;=1,IFERROR(VALUE(SUBSTITUTE(SUBSTITUTE(TRIM(X33),"A",""),"B","")),0),0)+
IF($B$1&gt;=2,IFERROR(VALUE(SUBSTITUTE(SUBSTITUTE(TRIM(Y33),"A",""),"B","")),0),0)+
IF($B$1&gt;=3,IFERROR(VALUE(SUBSTITUTE(SUBSTITUTE(TRIM(Z33),"A",""),"B","")),0),0)+
IF($B$1&gt;=4,IFERROR(VALUE(SUBSTITUTE(SUBSTITUTE(TRIM(AA33),"A",""),"B","")),0),0)+
IF($B$1&gt;=5,IFERROR(VALUE(SUBSTITUTE(SUBSTITUTE(TRIM(AB33),"A",""),"B","")),0),0)+
IF($B$1&gt;=6,IFERROR(VALUE(SUBSTITUTE(SUBSTITUTE(TRIM(AC33),"A",""),"B","")),0),0)+
IF($B$1&gt;=7,IFERROR(VALUE(SUBSTITUTE(SUBSTITUTE(TRIM(AD33),"A",""),"B","")),0),0)
)</f>
        <v>60</v>
      </c>
      <c r="X33" s="3"/>
      <c r="Y33" s="3"/>
      <c r="Z33" s="3"/>
      <c r="AA33" s="3"/>
      <c r="AB33" s="3" t="s">
        <v>118</v>
      </c>
      <c r="AC33" s="3" t="s">
        <v>156</v>
      </c>
      <c r="AD33" s="3" t="s">
        <v>180</v>
      </c>
      <c r="AE33" s="13">
        <f>AH33+AK33+AN33+AQ33+AT33+AW33+AZ33+BC33</f>
        <v>58.118946272130295</v>
      </c>
      <c r="AF33" s="13">
        <v>0.9</v>
      </c>
      <c r="AG33" s="13">
        <f>SQRT(AF33)</f>
        <v>0.94868329805051377</v>
      </c>
      <c r="AH33" s="13">
        <f>IF(AG33&gt;0,AG33/AG$99*1000, 0)</f>
        <v>25.403285652626696</v>
      </c>
      <c r="AI33" s="13"/>
      <c r="AJ33" s="13">
        <f>SQRT(AI33)</f>
        <v>0</v>
      </c>
      <c r="AK33" s="13">
        <f>IF(AJ33&gt;0,AJ33/AJ$99*1000, 0)</f>
        <v>0</v>
      </c>
      <c r="AL33" s="13">
        <v>0.1</v>
      </c>
      <c r="AM33" s="13">
        <f>SQRT(AL33)</f>
        <v>0.31622776601683794</v>
      </c>
      <c r="AN33" s="13">
        <f>IF(AM33&gt;0,AM33/AM$99*1000, 0)</f>
        <v>12.802206142256285</v>
      </c>
      <c r="AO33" s="13"/>
      <c r="AP33" s="13">
        <f>SQRT(AO33)</f>
        <v>0</v>
      </c>
      <c r="AQ33" s="13">
        <f>IF(AP33&gt;0,AP33/AP$99*1000, 0)</f>
        <v>0</v>
      </c>
      <c r="AR33" s="13"/>
      <c r="AS33" s="13">
        <f>SQRT(AR33)</f>
        <v>0</v>
      </c>
      <c r="AT33" s="13">
        <f>IF(AS33&gt;0,AS33/AS$99*1000, 0)</f>
        <v>0</v>
      </c>
      <c r="AU33" s="13"/>
      <c r="AV33" s="13">
        <f>SQRT(AU33)</f>
        <v>0</v>
      </c>
      <c r="AW33" s="13">
        <f>IF(AV33&gt;0,AV33/AV$99*1000, 0)</f>
        <v>0</v>
      </c>
      <c r="AX33" s="13">
        <v>0.1</v>
      </c>
      <c r="AY33" s="13">
        <f>SQRT(AX33)</f>
        <v>0.31622776601683794</v>
      </c>
      <c r="AZ33" s="13">
        <f>IF(AY33&gt;0,AY33/AY$99*1000, 0)</f>
        <v>15.278497570670767</v>
      </c>
      <c r="BA33" s="27">
        <v>4</v>
      </c>
      <c r="BB33" s="13">
        <f>SQRT(BA33)</f>
        <v>2</v>
      </c>
      <c r="BC33" s="13">
        <f>IF(BB33&gt;0,BB33/BB$99*1000, 0)</f>
        <v>4.6349569065765479</v>
      </c>
      <c r="BD33" s="24">
        <v>0.28999999999999998</v>
      </c>
      <c r="BE33" s="21">
        <f>SQRT(BD33)</f>
        <v>0.53851648071345037</v>
      </c>
      <c r="BF33" s="13">
        <f>IF(BE33&gt;0, BE33/BE$99*10000, 0)</f>
        <v>138.68284629482753</v>
      </c>
      <c r="BG33" s="27">
        <v>14</v>
      </c>
      <c r="BH33" s="13">
        <f>IF(BG33&gt;0, BG33/BG$99*2000, 0)</f>
        <v>38.942976356050067</v>
      </c>
      <c r="BI33" s="30">
        <v>0</v>
      </c>
      <c r="BJ33" s="30">
        <v>0</v>
      </c>
      <c r="BK33" s="30">
        <f>BJ33+BI33</f>
        <v>0</v>
      </c>
      <c r="BL33" s="3"/>
      <c r="BM33" s="1"/>
      <c r="BN33" s="1"/>
      <c r="BO33" s="1"/>
    </row>
    <row r="34" spans="1:67" s="6" customFormat="1" ht="20.100000000000001" customHeight="1" x14ac:dyDescent="0.25">
      <c r="A34" s="1"/>
      <c r="B34" s="1">
        <v>30</v>
      </c>
      <c r="C34" s="50">
        <v>30</v>
      </c>
      <c r="D34" s="51" t="str">
        <f>IF(C34&lt;B34,"▲"&amp;B34-C34,IF(C34&gt;B34,"▼"&amp;C34-B34,"—"))</f>
        <v>—</v>
      </c>
      <c r="E34" s="52" t="s">
        <v>37</v>
      </c>
      <c r="F34" s="53">
        <f>G34+O34+W34+AE34+BF34+BH34+BK34</f>
        <v>741.55138328783892</v>
      </c>
      <c r="G34" s="19">
        <f>IF(COUNTIF(H34:INDEX(H34:N34,$B$1),"&gt;0")=0,0,
SUMIF(H34:INDEX(H34:N34,$B$1),"&gt;0",H34:INDEX(H34:N34,$B$1))*$B$1/COUNTIF(H34:INDEX(H34:N34,$B$1),"&gt;0")*
IF($B$1-COUNTIF(H34:INDEX(H34:N34,$B$1),"&gt;0")&lt;=2,1,
IF($B$1-COUNTIF(H34:INDEX(H34:N34,$B$1),"&gt;0")=3,0.8,
IF($B$1-COUNTIF(H34:INDEX(H34:N34,$B$1),"&gt;0")=4,0.6,
IF($B$1-COUNTIF(H34:INDEX(H34:N34,$B$1),"&gt;0")=5,0.4,
IF($B$1-COUNTIF(H34:INDEX(H34:N34,$B$1),"&gt;0")=6,0.2,0))))))</f>
        <v>373</v>
      </c>
      <c r="H34" s="3">
        <v>74</v>
      </c>
      <c r="I34" s="3">
        <v>70</v>
      </c>
      <c r="J34" s="3">
        <v>53</v>
      </c>
      <c r="K34" s="3">
        <v>41</v>
      </c>
      <c r="L34" s="3">
        <v>45</v>
      </c>
      <c r="M34" s="3">
        <v>41</v>
      </c>
      <c r="N34" s="3">
        <v>49</v>
      </c>
      <c r="O34" s="13">
        <f>0.2*IF(COUNTIF(P34:INDEX(P34:V34,$B$1),"&gt;0")=0,0,
(SUMIF(P34:INDEX(P34:V34,$B$1),"&gt;0",P34:INDEX(P34:V34,$B$1))*$B$1/COUNTIF(P34:INDEX(P34:V34,$B$1),"&gt;0"))*
IF($B$1-COUNTIF(P34:INDEX(P34:V34,$B$1),"&gt;0")&lt;=2,1,
IF($B$1-COUNTIF(P34:INDEX(P34:V34,$B$1),"&gt;0")=3,0.8,
IF($B$1-COUNTIF(P34:INDEX(P34:V34,$B$1),"&gt;0")=4,0.6,
IF($B$1-COUNTIF(P34:INDEX(P34:V34,$B$1),"&gt;0")=5,0.4,
IF($B$1-COUNTIF(P34:INDEX(P34:V34,$B$1),"&gt;0")=6,0.2,0))))))</f>
        <v>48.800000000000004</v>
      </c>
      <c r="P34" s="3">
        <v>35</v>
      </c>
      <c r="Q34" s="3">
        <v>31</v>
      </c>
      <c r="R34" s="3">
        <v>39</v>
      </c>
      <c r="S34" s="3">
        <v>37</v>
      </c>
      <c r="T34" s="3">
        <v>34</v>
      </c>
      <c r="U34" s="3">
        <v>30</v>
      </c>
      <c r="V34" s="3">
        <v>38</v>
      </c>
      <c r="W34" s="3">
        <f>MIN(100,
IF($B$1&gt;=1,IFERROR(VALUE(SUBSTITUTE(SUBSTITUTE(TRIM(X34),"A",""),"B","")),0),0)+
IF($B$1&gt;=2,IFERROR(VALUE(SUBSTITUTE(SUBSTITUTE(TRIM(Y34),"A",""),"B","")),0),0)+
IF($B$1&gt;=3,IFERROR(VALUE(SUBSTITUTE(SUBSTITUTE(TRIM(Z34),"A",""),"B","")),0),0)+
IF($B$1&gt;=4,IFERROR(VALUE(SUBSTITUTE(SUBSTITUTE(TRIM(AA34),"A",""),"B","")),0),0)+
IF($B$1&gt;=5,IFERROR(VALUE(SUBSTITUTE(SUBSTITUTE(TRIM(AB34),"A",""),"B","")),0),0)+
IF($B$1&gt;=6,IFERROR(VALUE(SUBSTITUTE(SUBSTITUTE(TRIM(AC34),"A",""),"B","")),0),0)+
IF($B$1&gt;=7,IFERROR(VALUE(SUBSTITUTE(SUBSTITUTE(TRIM(AD34),"A",""),"B","")),0),0)
)</f>
        <v>100</v>
      </c>
      <c r="X34" s="3" t="s">
        <v>16</v>
      </c>
      <c r="Y34" s="3" t="s">
        <v>16</v>
      </c>
      <c r="Z34" s="3"/>
      <c r="AA34" s="3"/>
      <c r="AB34" s="3" t="s">
        <v>120</v>
      </c>
      <c r="AC34" s="3" t="s">
        <v>156</v>
      </c>
      <c r="AD34" s="3" t="s">
        <v>179</v>
      </c>
      <c r="AE34" s="13">
        <f>AH34+AK34+AN34+AQ34+AT34+AW34+AZ34+BC34</f>
        <v>43.36362946652568</v>
      </c>
      <c r="AF34" s="13"/>
      <c r="AG34" s="13">
        <f>SQRT(AF34)</f>
        <v>0</v>
      </c>
      <c r="AH34" s="13">
        <f>IF(AG34&gt;0,AG34/AG$99*1000, 0)</f>
        <v>0</v>
      </c>
      <c r="AI34" s="13"/>
      <c r="AJ34" s="13">
        <f>SQRT(AI34)</f>
        <v>0</v>
      </c>
      <c r="AK34" s="13">
        <f>IF(AJ34&gt;0,AJ34/AJ$99*1000, 0)</f>
        <v>0</v>
      </c>
      <c r="AL34" s="13"/>
      <c r="AM34" s="13">
        <f>SQRT(AL34)</f>
        <v>0</v>
      </c>
      <c r="AN34" s="13">
        <f>IF(AM34&gt;0,AM34/AM$99*1000, 0)</f>
        <v>0</v>
      </c>
      <c r="AO34" s="13"/>
      <c r="AP34" s="13">
        <f>SQRT(AO34)</f>
        <v>0</v>
      </c>
      <c r="AQ34" s="13">
        <f>IF(AP34&gt;0,AP34/AP$99*1000, 0)</f>
        <v>0</v>
      </c>
      <c r="AR34" s="13">
        <v>0.1</v>
      </c>
      <c r="AS34" s="13">
        <f>SQRT(AR34)</f>
        <v>0.31622776601683794</v>
      </c>
      <c r="AT34" s="13">
        <f>IF(AS34&gt;0,AS34/AS$99*1000, 0)</f>
        <v>17.908994713402151</v>
      </c>
      <c r="AU34" s="13">
        <v>0.1</v>
      </c>
      <c r="AV34" s="13">
        <f>SQRT(AU34)</f>
        <v>0.31622776601683794</v>
      </c>
      <c r="AW34" s="13">
        <f>IF(AV34&gt;0,AV34/AV$99*1000, 0)</f>
        <v>14.101355352222228</v>
      </c>
      <c r="AX34" s="13"/>
      <c r="AY34" s="13">
        <f>SQRT(AX34)</f>
        <v>0</v>
      </c>
      <c r="AZ34" s="13">
        <f>IF(AY34&gt;0,AY34/AY$99*1000, 0)</f>
        <v>0</v>
      </c>
      <c r="BA34" s="27">
        <v>24</v>
      </c>
      <c r="BB34" s="13">
        <f>SQRT(BA34)</f>
        <v>4.8989794855663558</v>
      </c>
      <c r="BC34" s="13">
        <f>IF(BB34&gt;0,BB34/BB$99*1000, 0)</f>
        <v>11.353279400901304</v>
      </c>
      <c r="BD34" s="24">
        <v>0.44</v>
      </c>
      <c r="BE34" s="21">
        <f>SQRT(BD34)</f>
        <v>0.66332495807107994</v>
      </c>
      <c r="BF34" s="13">
        <f>IF(BE34&gt;0, BE34/BE$99*10000, 0)</f>
        <v>170.82447148473472</v>
      </c>
      <c r="BG34" s="27">
        <v>2</v>
      </c>
      <c r="BH34" s="13">
        <f>IF(BG34&gt;0, BG34/BG$99*2000, 0)</f>
        <v>5.5632823365785811</v>
      </c>
      <c r="BI34" s="30">
        <v>0</v>
      </c>
      <c r="BJ34" s="30">
        <v>0</v>
      </c>
      <c r="BK34" s="30">
        <f>BJ34+BI34</f>
        <v>0</v>
      </c>
      <c r="BL34" s="3"/>
      <c r="BM34" s="1"/>
      <c r="BN34" s="1"/>
      <c r="BO34" s="1"/>
    </row>
    <row r="35" spans="1:67" s="6" customFormat="1" ht="20.100000000000001" customHeight="1" x14ac:dyDescent="0.25">
      <c r="A35" s="1"/>
      <c r="B35" s="1">
        <v>32</v>
      </c>
      <c r="C35" s="50">
        <v>31</v>
      </c>
      <c r="D35" s="51" t="str">
        <f>IF(C35&lt;B35,"▲"&amp;B35-C35,IF(C35&gt;B35,"▼"&amp;C35-B35,"—"))</f>
        <v>▲1</v>
      </c>
      <c r="E35" s="52" t="s">
        <v>49</v>
      </c>
      <c r="F35" s="53">
        <f>G35+O35+W35+AE35+BF35+BH35+BK35</f>
        <v>739.24003813656554</v>
      </c>
      <c r="G35" s="19">
        <f>IF(COUNTIF(H35:INDEX(H35:N35,$B$1),"&gt;0")=0,0,
SUMIF(H35:INDEX(H35:N35,$B$1),"&gt;0",H35:INDEX(H35:N35,$B$1))*$B$1/COUNTIF(H35:INDEX(H35:N35,$B$1),"&gt;0")*
IF($B$1-COUNTIF(H35:INDEX(H35:N35,$B$1),"&gt;0")&lt;=2,1,
IF($B$1-COUNTIF(H35:INDEX(H35:N35,$B$1),"&gt;0")=3,0.8,
IF($B$1-COUNTIF(H35:INDEX(H35:N35,$B$1),"&gt;0")=4,0.6,
IF($B$1-COUNTIF(H35:INDEX(H35:N35,$B$1),"&gt;0")=5,0.4,
IF($B$1-COUNTIF(H35:INDEX(H35:N35,$B$1),"&gt;0")=6,0.2,0))))))</f>
        <v>280</v>
      </c>
      <c r="H35" s="3">
        <v>37</v>
      </c>
      <c r="I35" s="3">
        <v>38</v>
      </c>
      <c r="J35" s="3">
        <v>51</v>
      </c>
      <c r="K35" s="3">
        <v>42</v>
      </c>
      <c r="L35" s="3">
        <v>39</v>
      </c>
      <c r="M35" s="3">
        <v>37</v>
      </c>
      <c r="N35" s="3">
        <v>36</v>
      </c>
      <c r="O35" s="13">
        <f>0.2*IF(COUNTIF(P35:INDEX(P35:V35,$B$1),"&gt;0")=0,0,
(SUMIF(P35:INDEX(P35:V35,$B$1),"&gt;0",P35:INDEX(P35:V35,$B$1))*$B$1/COUNTIF(P35:INDEX(P35:V35,$B$1),"&gt;0"))*
IF($B$1-COUNTIF(P35:INDEX(P35:V35,$B$1),"&gt;0")&lt;=2,1,
IF($B$1-COUNTIF(P35:INDEX(P35:V35,$B$1),"&gt;0")=3,0.8,
IF($B$1-COUNTIF(P35:INDEX(P35:V35,$B$1),"&gt;0")=4,0.6,
IF($B$1-COUNTIF(P35:INDEX(P35:V35,$B$1),"&gt;0")=5,0.4,
IF($B$1-COUNTIF(P35:INDEX(P35:V35,$B$1),"&gt;0")=6,0.2,0))))))</f>
        <v>67.400000000000006</v>
      </c>
      <c r="P35" s="3">
        <v>51</v>
      </c>
      <c r="Q35" s="3">
        <v>42</v>
      </c>
      <c r="R35" s="3">
        <v>51</v>
      </c>
      <c r="S35" s="3">
        <v>52</v>
      </c>
      <c r="T35" s="3">
        <v>48</v>
      </c>
      <c r="U35" s="3">
        <v>45</v>
      </c>
      <c r="V35" s="3">
        <v>48</v>
      </c>
      <c r="W35" s="3">
        <f>MIN(100,
IF($B$1&gt;=1,IFERROR(VALUE(SUBSTITUTE(SUBSTITUTE(TRIM(X35),"A",""),"B","")),0),0)+
IF($B$1&gt;=2,IFERROR(VALUE(SUBSTITUTE(SUBSTITUTE(TRIM(Y35),"A",""),"B","")),0),0)+
IF($B$1&gt;=3,IFERROR(VALUE(SUBSTITUTE(SUBSTITUTE(TRIM(Z35),"A",""),"B","")),0),0)+
IF($B$1&gt;=4,IFERROR(VALUE(SUBSTITUTE(SUBSTITUTE(TRIM(AA35),"A",""),"B","")),0),0)+
IF($B$1&gt;=5,IFERROR(VALUE(SUBSTITUTE(SUBSTITUTE(TRIM(AB35),"A",""),"B","")),0),0)+
IF($B$1&gt;=6,IFERROR(VALUE(SUBSTITUTE(SUBSTITUTE(TRIM(AC35),"A",""),"B","")),0),0)+
IF($B$1&gt;=7,IFERROR(VALUE(SUBSTITUTE(SUBSTITUTE(TRIM(AD35),"A",""),"B","")),0),0)
)</f>
        <v>100</v>
      </c>
      <c r="X35" s="3" t="s">
        <v>28</v>
      </c>
      <c r="Y35" s="3" t="s">
        <v>14</v>
      </c>
      <c r="Z35" s="3" t="s">
        <v>14</v>
      </c>
      <c r="AA35" s="3" t="s">
        <v>118</v>
      </c>
      <c r="AB35" s="3" t="s">
        <v>118</v>
      </c>
      <c r="AC35" s="3" t="s">
        <v>156</v>
      </c>
      <c r="AD35" s="3"/>
      <c r="AE35" s="13">
        <f>AH35+AK35+AN35+AQ35+AT35+AW35+AZ35+BC35</f>
        <v>87.487410332181128</v>
      </c>
      <c r="AF35" s="13"/>
      <c r="AG35" s="13">
        <f>SQRT(AF35)</f>
        <v>0</v>
      </c>
      <c r="AH35" s="13">
        <f>IF(AG35&gt;0,AG35/AG$99*1000, 0)</f>
        <v>0</v>
      </c>
      <c r="AI35" s="13"/>
      <c r="AJ35" s="13">
        <f>SQRT(AI35)</f>
        <v>0</v>
      </c>
      <c r="AK35" s="13">
        <f>IF(AJ35&gt;0,AJ35/AJ$99*1000, 0)</f>
        <v>0</v>
      </c>
      <c r="AL35" s="13"/>
      <c r="AM35" s="13">
        <f>SQRT(AL35)</f>
        <v>0</v>
      </c>
      <c r="AN35" s="13">
        <f>IF(AM35&gt;0,AM35/AM$99*1000, 0)</f>
        <v>0</v>
      </c>
      <c r="AO35" s="13"/>
      <c r="AP35" s="13">
        <f>SQRT(AO35)</f>
        <v>0</v>
      </c>
      <c r="AQ35" s="13">
        <f>IF(AP35&gt;0,AP35/AP$99*1000, 0)</f>
        <v>0</v>
      </c>
      <c r="AR35" s="13">
        <v>0.1</v>
      </c>
      <c r="AS35" s="13">
        <f>SQRT(AR35)</f>
        <v>0.31622776601683794</v>
      </c>
      <c r="AT35" s="13">
        <f>IF(AS35&gt;0,AS35/AS$99*1000, 0)</f>
        <v>17.908994713402151</v>
      </c>
      <c r="AU35" s="13">
        <v>0.1</v>
      </c>
      <c r="AV35" s="13">
        <f>SQRT(AU35)</f>
        <v>0.31622776601683794</v>
      </c>
      <c r="AW35" s="13">
        <f>IF(AV35&gt;0,AV35/AV$99*1000, 0)</f>
        <v>14.101355352222228</v>
      </c>
      <c r="AX35" s="13">
        <v>0.8</v>
      </c>
      <c r="AY35" s="13">
        <f>SQRT(AX35)</f>
        <v>0.89442719099991586</v>
      </c>
      <c r="AZ35" s="13">
        <f>IF(AY35&gt;0,AY35/AY$99*1000, 0)</f>
        <v>43.214116954253967</v>
      </c>
      <c r="BA35" s="27">
        <v>28</v>
      </c>
      <c r="BB35" s="13">
        <f>SQRT(BA35)</f>
        <v>5.2915026221291814</v>
      </c>
      <c r="BC35" s="13">
        <f>IF(BB35&gt;0,BB35/BB$99*1000, 0)</f>
        <v>12.262943312302783</v>
      </c>
      <c r="BD35" s="24">
        <v>0.5</v>
      </c>
      <c r="BE35" s="21">
        <f>SQRT(BD35)</f>
        <v>0.70710678118654757</v>
      </c>
      <c r="BF35" s="13">
        <f>IF(BE35&gt;0, BE35/BE$99*10000, 0)</f>
        <v>182.09949845806997</v>
      </c>
      <c r="BG35" s="27">
        <v>8</v>
      </c>
      <c r="BH35" s="13">
        <f>IF(BG35&gt;0, BG35/BG$99*2000, 0)</f>
        <v>22.253129346314324</v>
      </c>
      <c r="BI35" s="30">
        <v>0</v>
      </c>
      <c r="BJ35" s="30">
        <v>0</v>
      </c>
      <c r="BK35" s="30">
        <f>BJ35+BI35</f>
        <v>0</v>
      </c>
      <c r="BL35" s="3"/>
      <c r="BM35" s="1"/>
      <c r="BN35" s="1"/>
      <c r="BO35" s="1"/>
    </row>
    <row r="36" spans="1:67" s="6" customFormat="1" ht="20.100000000000001" customHeight="1" x14ac:dyDescent="0.25">
      <c r="A36" s="1"/>
      <c r="B36" s="1">
        <v>29</v>
      </c>
      <c r="C36" s="50">
        <v>32</v>
      </c>
      <c r="D36" s="51" t="str">
        <f>IF(C36&lt;B36,"▲"&amp;B36-C36,IF(C36&gt;B36,"▼"&amp;C36-B36,"—"))</f>
        <v>▼3</v>
      </c>
      <c r="E36" s="52" t="s">
        <v>40</v>
      </c>
      <c r="F36" s="53">
        <f>G36+O36+W36+AE36+BF36+BH36+BK36</f>
        <v>712.61852602024896</v>
      </c>
      <c r="G36" s="19">
        <f>IF(COUNTIF(H36:INDEX(H36:N36,$B$1),"&gt;0")=0,0,
SUMIF(H36:INDEX(H36:N36,$B$1),"&gt;0",H36:INDEX(H36:N36,$B$1))*$B$1/COUNTIF(H36:INDEX(H36:N36,$B$1),"&gt;0")*
IF($B$1-COUNTIF(H36:INDEX(H36:N36,$B$1),"&gt;0")&lt;=2,1,
IF($B$1-COUNTIF(H36:INDEX(H36:N36,$B$1),"&gt;0")=3,0.8,
IF($B$1-COUNTIF(H36:INDEX(H36:N36,$B$1),"&gt;0")=4,0.6,
IF($B$1-COUNTIF(H36:INDEX(H36:N36,$B$1),"&gt;0")=5,0.4,
IF($B$1-COUNTIF(H36:INDEX(H36:N36,$B$1),"&gt;0")=6,0.2,0))))))</f>
        <v>301</v>
      </c>
      <c r="H36" s="3">
        <v>37</v>
      </c>
      <c r="I36" s="3">
        <v>41</v>
      </c>
      <c r="J36" s="3">
        <v>50</v>
      </c>
      <c r="K36" s="3">
        <v>41</v>
      </c>
      <c r="L36" s="3">
        <v>37</v>
      </c>
      <c r="M36" s="3">
        <v>50</v>
      </c>
      <c r="N36" s="3">
        <v>45</v>
      </c>
      <c r="O36" s="13">
        <f>0.2*IF(COUNTIF(P36:INDEX(P36:V36,$B$1),"&gt;0")=0,0,
(SUMIF(P36:INDEX(P36:V36,$B$1),"&gt;0",P36:INDEX(P36:V36,$B$1))*$B$1/COUNTIF(P36:INDEX(P36:V36,$B$1),"&gt;0"))*
IF($B$1-COUNTIF(P36:INDEX(P36:V36,$B$1),"&gt;0")&lt;=2,1,
IF($B$1-COUNTIF(P36:INDEX(P36:V36,$B$1),"&gt;0")=3,0.8,
IF($B$1-COUNTIF(P36:INDEX(P36:V36,$B$1),"&gt;0")=4,0.6,
IF($B$1-COUNTIF(P36:INDEX(P36:V36,$B$1),"&gt;0")=5,0.4,
IF($B$1-COUNTIF(P36:INDEX(P36:V36,$B$1),"&gt;0")=6,0.2,0))))))</f>
        <v>115.4</v>
      </c>
      <c r="P36" s="3">
        <v>87</v>
      </c>
      <c r="Q36" s="3">
        <v>68</v>
      </c>
      <c r="R36" s="3">
        <v>90</v>
      </c>
      <c r="S36" s="3">
        <v>86</v>
      </c>
      <c r="T36" s="3">
        <v>92</v>
      </c>
      <c r="U36" s="3">
        <v>78</v>
      </c>
      <c r="V36" s="3">
        <v>76</v>
      </c>
      <c r="W36" s="3">
        <f>MIN(100,
IF($B$1&gt;=1,IFERROR(VALUE(SUBSTITUTE(SUBSTITUTE(TRIM(X36),"A",""),"B","")),0),0)+
IF($B$1&gt;=2,IFERROR(VALUE(SUBSTITUTE(SUBSTITUTE(TRIM(Y36),"A",""),"B","")),0),0)+
IF($B$1&gt;=3,IFERROR(VALUE(SUBSTITUTE(SUBSTITUTE(TRIM(Z36),"A",""),"B","")),0),0)+
IF($B$1&gt;=4,IFERROR(VALUE(SUBSTITUTE(SUBSTITUTE(TRIM(AA36),"A",""),"B","")),0),0)+
IF($B$1&gt;=5,IFERROR(VALUE(SUBSTITUTE(SUBSTITUTE(TRIM(AB36),"A",""),"B","")),0),0)+
IF($B$1&gt;=6,IFERROR(VALUE(SUBSTITUTE(SUBSTITUTE(TRIM(AC36),"A",""),"B","")),0),0)+
IF($B$1&gt;=7,IFERROR(VALUE(SUBSTITUTE(SUBSTITUTE(TRIM(AD36),"A",""),"B","")),0),0)
)</f>
        <v>100</v>
      </c>
      <c r="X36" s="3" t="s">
        <v>14</v>
      </c>
      <c r="Y36" s="3" t="s">
        <v>14</v>
      </c>
      <c r="Z36" s="3" t="s">
        <v>14</v>
      </c>
      <c r="AA36" s="3" t="s">
        <v>119</v>
      </c>
      <c r="AB36" s="3" t="s">
        <v>118</v>
      </c>
      <c r="AC36" s="3" t="s">
        <v>156</v>
      </c>
      <c r="AD36" s="3" t="s">
        <v>180</v>
      </c>
      <c r="AE36" s="13">
        <f>AH36+AK36+AN36+AQ36+AT36+AW36+AZ36+BC36</f>
        <v>48.821174640398354</v>
      </c>
      <c r="AF36" s="13">
        <v>2.8</v>
      </c>
      <c r="AG36" s="13">
        <f>SQRT(AF36)</f>
        <v>1.6733200530681511</v>
      </c>
      <c r="AH36" s="13">
        <f>IF(AG36&gt;0,AG36/AG$99*1000, 0)</f>
        <v>44.807184213856928</v>
      </c>
      <c r="AI36" s="13"/>
      <c r="AJ36" s="13">
        <f>SQRT(AI36)</f>
        <v>0</v>
      </c>
      <c r="AK36" s="13">
        <f>IF(AJ36&gt;0,AJ36/AJ$99*1000, 0)</f>
        <v>0</v>
      </c>
      <c r="AL36" s="13"/>
      <c r="AM36" s="13">
        <f>SQRT(AL36)</f>
        <v>0</v>
      </c>
      <c r="AN36" s="13">
        <f>IF(AM36&gt;0,AM36/AM$99*1000, 0)</f>
        <v>0</v>
      </c>
      <c r="AO36" s="13"/>
      <c r="AP36" s="13">
        <f>SQRT(AO36)</f>
        <v>0</v>
      </c>
      <c r="AQ36" s="13">
        <f>IF(AP36&gt;0,AP36/AP$99*1000, 0)</f>
        <v>0</v>
      </c>
      <c r="AR36" s="13"/>
      <c r="AS36" s="13">
        <f>SQRT(AR36)</f>
        <v>0</v>
      </c>
      <c r="AT36" s="13">
        <f>IF(AS36&gt;0,AS36/AS$99*1000, 0)</f>
        <v>0</v>
      </c>
      <c r="AU36" s="13"/>
      <c r="AV36" s="13">
        <f>SQRT(AU36)</f>
        <v>0</v>
      </c>
      <c r="AW36" s="13">
        <f>IF(AV36&gt;0,AV36/AV$99*1000, 0)</f>
        <v>0</v>
      </c>
      <c r="AX36" s="13"/>
      <c r="AY36" s="13">
        <f>SQRT(AX36)</f>
        <v>0</v>
      </c>
      <c r="AZ36" s="13">
        <f>IF(AY36&gt;0,AY36/AY$99*1000, 0)</f>
        <v>0</v>
      </c>
      <c r="BA36" s="27">
        <v>3</v>
      </c>
      <c r="BB36" s="13">
        <f>SQRT(BA36)</f>
        <v>1.7320508075688772</v>
      </c>
      <c r="BC36" s="13">
        <f>IF(BB36&gt;0,BB36/BB$99*1000, 0)</f>
        <v>4.0139904265414277</v>
      </c>
      <c r="BD36" s="24">
        <v>0.28000000000000003</v>
      </c>
      <c r="BE36" s="21">
        <f>SQRT(BD36)</f>
        <v>0.52915026221291817</v>
      </c>
      <c r="BF36" s="13">
        <f>IF(BE36&gt;0, BE36/BE$99*10000, 0)</f>
        <v>136.27078670669349</v>
      </c>
      <c r="BG36" s="27">
        <v>4</v>
      </c>
      <c r="BH36" s="13">
        <f>IF(BG36&gt;0, BG36/BG$99*2000, 0)</f>
        <v>11.126564673157162</v>
      </c>
      <c r="BI36" s="30">
        <v>0</v>
      </c>
      <c r="BJ36" s="30">
        <v>0</v>
      </c>
      <c r="BK36" s="30">
        <f>BJ36+BI36</f>
        <v>0</v>
      </c>
      <c r="BL36" s="3"/>
      <c r="BM36" s="1"/>
      <c r="BN36" s="1"/>
      <c r="BO36" s="1"/>
    </row>
    <row r="37" spans="1:67" s="6" customFormat="1" ht="20.100000000000001" customHeight="1" x14ac:dyDescent="0.25">
      <c r="A37" s="1"/>
      <c r="B37" s="1">
        <v>38</v>
      </c>
      <c r="C37" s="50">
        <v>33</v>
      </c>
      <c r="D37" s="51" t="str">
        <f>IF(C37&lt;B37,"▲"&amp;B37-C37,IF(C37&gt;B37,"▼"&amp;C37-B37,"—"))</f>
        <v>▲5</v>
      </c>
      <c r="E37" s="52" t="s">
        <v>43</v>
      </c>
      <c r="F37" s="53">
        <f>G37+O37+W37+AE37+BF37+BH37+BK37</f>
        <v>684.637330993364</v>
      </c>
      <c r="G37" s="19">
        <f>IF(COUNTIF(H37:INDEX(H37:N37,$B$1),"&gt;0")=0,0,
SUMIF(H37:INDEX(H37:N37,$B$1),"&gt;0",H37:INDEX(H37:N37,$B$1))*$B$1/COUNTIF(H37:INDEX(H37:N37,$B$1),"&gt;0")*
IF($B$1-COUNTIF(H37:INDEX(H37:N37,$B$1),"&gt;0")&lt;=2,1,
IF($B$1-COUNTIF(H37:INDEX(H37:N37,$B$1),"&gt;0")=3,0.8,
IF($B$1-COUNTIF(H37:INDEX(H37:N37,$B$1),"&gt;0")=4,0.6,
IF($B$1-COUNTIF(H37:INDEX(H37:N37,$B$1),"&gt;0")=5,0.4,
IF($B$1-COUNTIF(H37:INDEX(H37:N37,$B$1),"&gt;0")=6,0.2,0))))))</f>
        <v>415</v>
      </c>
      <c r="H37" s="3">
        <v>50</v>
      </c>
      <c r="I37" s="3">
        <v>61</v>
      </c>
      <c r="J37" s="3">
        <v>63</v>
      </c>
      <c r="K37" s="3">
        <v>29</v>
      </c>
      <c r="L37" s="3">
        <v>30</v>
      </c>
      <c r="M37" s="3">
        <v>29</v>
      </c>
      <c r="N37" s="3">
        <v>153</v>
      </c>
      <c r="O37" s="13">
        <f>0.2*IF(COUNTIF(P37:INDEX(P37:V37,$B$1),"&gt;0")=0,0,
(SUMIF(P37:INDEX(P37:V37,$B$1),"&gt;0",P37:INDEX(P37:V37,$B$1))*$B$1/COUNTIF(P37:INDEX(P37:V37,$B$1),"&gt;0"))*
IF($B$1-COUNTIF(P37:INDEX(P37:V37,$B$1),"&gt;0")&lt;=2,1,
IF($B$1-COUNTIF(P37:INDEX(P37:V37,$B$1),"&gt;0")=3,0.8,
IF($B$1-COUNTIF(P37:INDEX(P37:V37,$B$1),"&gt;0")=4,0.6,
IF($B$1-COUNTIF(P37:INDEX(P37:V37,$B$1),"&gt;0")=5,0.4,
IF($B$1-COUNTIF(P37:INDEX(P37:V37,$B$1),"&gt;0")=6,0.2,0))))))</f>
        <v>54.6</v>
      </c>
      <c r="P37" s="3">
        <v>52</v>
      </c>
      <c r="Q37" s="3">
        <v>41</v>
      </c>
      <c r="R37" s="3">
        <v>50</v>
      </c>
      <c r="S37" s="3">
        <v>39</v>
      </c>
      <c r="T37" s="3">
        <v>25</v>
      </c>
      <c r="U37" s="3">
        <v>25</v>
      </c>
      <c r="V37" s="3">
        <v>41</v>
      </c>
      <c r="W37" s="3">
        <f>MIN(100,
IF($B$1&gt;=1,IFERROR(VALUE(SUBSTITUTE(SUBSTITUTE(TRIM(X37),"A",""),"B","")),0),0)+
IF($B$1&gt;=2,IFERROR(VALUE(SUBSTITUTE(SUBSTITUTE(TRIM(Y37),"A",""),"B","")),0),0)+
IF($B$1&gt;=3,IFERROR(VALUE(SUBSTITUTE(SUBSTITUTE(TRIM(Z37),"A",""),"B","")),0),0)+
IF($B$1&gt;=4,IFERROR(VALUE(SUBSTITUTE(SUBSTITUTE(TRIM(AA37),"A",""),"B","")),0),0)+
IF($B$1&gt;=5,IFERROR(VALUE(SUBSTITUTE(SUBSTITUTE(TRIM(AB37),"A",""),"B","")),0),0)+
IF($B$1&gt;=6,IFERROR(VALUE(SUBSTITUTE(SUBSTITUTE(TRIM(AC37),"A",""),"B","")),0),0)+
IF($B$1&gt;=7,IFERROR(VALUE(SUBSTITUTE(SUBSTITUTE(TRIM(AD37),"A",""),"B","")),0),0)
)</f>
        <v>40</v>
      </c>
      <c r="X37" s="3" t="s">
        <v>16</v>
      </c>
      <c r="Y37" s="3"/>
      <c r="Z37" s="3"/>
      <c r="AA37" s="3"/>
      <c r="AB37" s="3"/>
      <c r="AC37" s="3" t="s">
        <v>156</v>
      </c>
      <c r="AD37" s="3"/>
      <c r="AE37" s="13">
        <f>AH37+AK37+AN37+AQ37+AT37+AW37+AZ37+BC37</f>
        <v>14.101355352222228</v>
      </c>
      <c r="AF37" s="13"/>
      <c r="AG37" s="13">
        <f>SQRT(AF37)</f>
        <v>0</v>
      </c>
      <c r="AH37" s="13">
        <f>IF(AG37&gt;0,AG37/AG$99*1000, 0)</f>
        <v>0</v>
      </c>
      <c r="AI37" s="13"/>
      <c r="AJ37" s="13">
        <f>SQRT(AI37)</f>
        <v>0</v>
      </c>
      <c r="AK37" s="13">
        <f>IF(AJ37&gt;0,AJ37/AJ$99*1000, 0)</f>
        <v>0</v>
      </c>
      <c r="AL37" s="13"/>
      <c r="AM37" s="13">
        <f>SQRT(AL37)</f>
        <v>0</v>
      </c>
      <c r="AN37" s="13">
        <f>IF(AM37&gt;0,AM37/AM$99*1000, 0)</f>
        <v>0</v>
      </c>
      <c r="AO37" s="13"/>
      <c r="AP37" s="13">
        <f>SQRT(AO37)</f>
        <v>0</v>
      </c>
      <c r="AQ37" s="13">
        <f>IF(AP37&gt;0,AP37/AP$99*1000, 0)</f>
        <v>0</v>
      </c>
      <c r="AR37" s="13"/>
      <c r="AS37" s="13">
        <f>SQRT(AR37)</f>
        <v>0</v>
      </c>
      <c r="AT37" s="13">
        <f>IF(AS37&gt;0,AS37/AS$99*1000, 0)</f>
        <v>0</v>
      </c>
      <c r="AU37" s="13">
        <v>0.1</v>
      </c>
      <c r="AV37" s="13">
        <f>SQRT(AU37)</f>
        <v>0.31622776601683794</v>
      </c>
      <c r="AW37" s="13">
        <f>IF(AV37&gt;0,AV37/AV$99*1000, 0)</f>
        <v>14.101355352222228</v>
      </c>
      <c r="AX37" s="13"/>
      <c r="AY37" s="13">
        <f>SQRT(AX37)</f>
        <v>0</v>
      </c>
      <c r="AZ37" s="13">
        <f>IF(AY37&gt;0,AY37/AY$99*1000, 0)</f>
        <v>0</v>
      </c>
      <c r="BA37" s="27"/>
      <c r="BB37" s="13">
        <f>SQRT(BA37)</f>
        <v>0</v>
      </c>
      <c r="BC37" s="13">
        <f>IF(BB37&gt;0,BB37/BB$99*1000, 0)</f>
        <v>0</v>
      </c>
      <c r="BD37" s="24">
        <v>0.28999999999999998</v>
      </c>
      <c r="BE37" s="21">
        <f>SQRT(BD37)</f>
        <v>0.53851648071345037</v>
      </c>
      <c r="BF37" s="13">
        <f>IF(BE37&gt;0, BE37/BE$99*10000, 0)</f>
        <v>138.68284629482753</v>
      </c>
      <c r="BG37" s="27">
        <v>8</v>
      </c>
      <c r="BH37" s="13">
        <f>IF(BG37&gt;0, BG37/BG$99*2000, 0)</f>
        <v>22.253129346314324</v>
      </c>
      <c r="BI37" s="30">
        <v>0</v>
      </c>
      <c r="BJ37" s="30">
        <v>0</v>
      </c>
      <c r="BK37" s="30">
        <f>BJ37+BI37</f>
        <v>0</v>
      </c>
      <c r="BL37" s="3"/>
      <c r="BM37" s="1"/>
      <c r="BN37" s="1"/>
      <c r="BO37" s="1"/>
    </row>
    <row r="38" spans="1:67" s="6" customFormat="1" ht="20.100000000000001" customHeight="1" x14ac:dyDescent="0.25">
      <c r="A38" s="1"/>
      <c r="B38" s="1">
        <v>33</v>
      </c>
      <c r="C38" s="50">
        <v>34</v>
      </c>
      <c r="D38" s="51" t="str">
        <f>IF(C38&lt;B38,"▲"&amp;B38-C38,IF(C38&gt;B38,"▼"&amp;C38-B38,"—"))</f>
        <v>▼1</v>
      </c>
      <c r="E38" s="52" t="s">
        <v>57</v>
      </c>
      <c r="F38" s="53">
        <f>G38+O38+W38+AE38+BF38+BH38+BK38</f>
        <v>678.93365495486876</v>
      </c>
      <c r="G38" s="19">
        <f>IF(COUNTIF(H38:INDEX(H38:N38,$B$1),"&gt;0")=0,0,
SUMIF(H38:INDEX(H38:N38,$B$1),"&gt;0",H38:INDEX(H38:N38,$B$1))*$B$1/COUNTIF(H38:INDEX(H38:N38,$B$1),"&gt;0")*
IF($B$1-COUNTIF(H38:INDEX(H38:N38,$B$1),"&gt;0")&lt;=2,1,
IF($B$1-COUNTIF(H38:INDEX(H38:N38,$B$1),"&gt;0")=3,0.8,
IF($B$1-COUNTIF(H38:INDEX(H38:N38,$B$1),"&gt;0")=4,0.6,
IF($B$1-COUNTIF(H38:INDEX(H38:N38,$B$1),"&gt;0")=5,0.4,
IF($B$1-COUNTIF(H38:INDEX(H38:N38,$B$1),"&gt;0")=6,0.2,0))))))</f>
        <v>346</v>
      </c>
      <c r="H38" s="3">
        <v>46</v>
      </c>
      <c r="I38" s="3">
        <v>49</v>
      </c>
      <c r="J38" s="3">
        <v>42</v>
      </c>
      <c r="K38" s="3">
        <v>64</v>
      </c>
      <c r="L38" s="3">
        <v>50</v>
      </c>
      <c r="M38" s="3">
        <v>48</v>
      </c>
      <c r="N38" s="3">
        <v>47</v>
      </c>
      <c r="O38" s="13">
        <f>0.2*IF(COUNTIF(P38:INDEX(P38:V38,$B$1),"&gt;0")=0,0,
(SUMIF(P38:INDEX(P38:V38,$B$1),"&gt;0",P38:INDEX(P38:V38,$B$1))*$B$1/COUNTIF(P38:INDEX(P38:V38,$B$1),"&gt;0"))*
IF($B$1-COUNTIF(P38:INDEX(P38:V38,$B$1),"&gt;0")&lt;=2,1,
IF($B$1-COUNTIF(P38:INDEX(P38:V38,$B$1),"&gt;0")=3,0.8,
IF($B$1-COUNTIF(P38:INDEX(P38:V38,$B$1),"&gt;0")=4,0.6,
IF($B$1-COUNTIF(P38:INDEX(P38:V38,$B$1),"&gt;0")=5,0.4,
IF($B$1-COUNTIF(P38:INDEX(P38:V38,$B$1),"&gt;0")=6,0.2,0))))))</f>
        <v>65</v>
      </c>
      <c r="P38" s="3">
        <v>50</v>
      </c>
      <c r="Q38" s="3">
        <v>41</v>
      </c>
      <c r="R38" s="3">
        <v>46</v>
      </c>
      <c r="S38" s="3">
        <v>48</v>
      </c>
      <c r="T38" s="3">
        <v>47</v>
      </c>
      <c r="U38" s="3">
        <v>48</v>
      </c>
      <c r="V38" s="3">
        <v>45</v>
      </c>
      <c r="W38" s="3">
        <f>MIN(100,
IF($B$1&gt;=1,IFERROR(VALUE(SUBSTITUTE(SUBSTITUTE(TRIM(X38),"A",""),"B","")),0),0)+
IF($B$1&gt;=2,IFERROR(VALUE(SUBSTITUTE(SUBSTITUTE(TRIM(Y38),"A",""),"B","")),0),0)+
IF($B$1&gt;=3,IFERROR(VALUE(SUBSTITUTE(SUBSTITUTE(TRIM(Z38),"A",""),"B","")),0),0)+
IF($B$1&gt;=4,IFERROR(VALUE(SUBSTITUTE(SUBSTITUTE(TRIM(AA38),"A",""),"B","")),0),0)+
IF($B$1&gt;=5,IFERROR(VALUE(SUBSTITUTE(SUBSTITUTE(TRIM(AB38),"A",""),"B","")),0),0)+
IF($B$1&gt;=6,IFERROR(VALUE(SUBSTITUTE(SUBSTITUTE(TRIM(AC38),"A",""),"B","")),0),0)+
IF($B$1&gt;=7,IFERROR(VALUE(SUBSTITUTE(SUBSTITUTE(TRIM(AD38),"A",""),"B","")),0),0)
)</f>
        <v>20</v>
      </c>
      <c r="X38" s="3"/>
      <c r="Y38" s="3"/>
      <c r="Z38" s="3"/>
      <c r="AA38" s="3"/>
      <c r="AB38" s="3"/>
      <c r="AC38" s="3" t="s">
        <v>156</v>
      </c>
      <c r="AD38" s="3"/>
      <c r="AE38" s="13">
        <f>AH38+AK38+AN38+AQ38+AT38+AW38+AZ38+BC38</f>
        <v>105.08157460025785</v>
      </c>
      <c r="AF38" s="13">
        <v>0.9</v>
      </c>
      <c r="AG38" s="13">
        <f>SQRT(AF38)</f>
        <v>0.94868329805051377</v>
      </c>
      <c r="AH38" s="13">
        <f>IF(AG38&gt;0,AG38/AG$99*1000, 0)</f>
        <v>25.403285652626696</v>
      </c>
      <c r="AI38" s="13"/>
      <c r="AJ38" s="13">
        <f>SQRT(AI38)</f>
        <v>0</v>
      </c>
      <c r="AK38" s="13">
        <f>IF(AJ38&gt;0,AJ38/AJ$99*1000, 0)</f>
        <v>0</v>
      </c>
      <c r="AL38" s="13"/>
      <c r="AM38" s="13">
        <f>SQRT(AL38)</f>
        <v>0</v>
      </c>
      <c r="AN38" s="13">
        <f>IF(AM38&gt;0,AM38/AM$99*1000, 0)</f>
        <v>0</v>
      </c>
      <c r="AO38" s="13"/>
      <c r="AP38" s="13">
        <f>SQRT(AO38)</f>
        <v>0</v>
      </c>
      <c r="AQ38" s="13">
        <f>IF(AP38&gt;0,AP38/AP$99*1000, 0)</f>
        <v>0</v>
      </c>
      <c r="AR38" s="13">
        <v>0.2</v>
      </c>
      <c r="AS38" s="13">
        <f>SQRT(AR38)</f>
        <v>0.44721359549995793</v>
      </c>
      <c r="AT38" s="13">
        <f>IF(AS38&gt;0,AS38/AS$99*1000, 0)</f>
        <v>25.327143212161378</v>
      </c>
      <c r="AU38" s="13">
        <v>0.4</v>
      </c>
      <c r="AV38" s="13">
        <f>SQRT(AU38)</f>
        <v>0.63245553203367588</v>
      </c>
      <c r="AW38" s="13">
        <f>IF(AV38&gt;0,AV38/AV$99*1000, 0)</f>
        <v>28.202710704444456</v>
      </c>
      <c r="AX38" s="13">
        <v>0.1</v>
      </c>
      <c r="AY38" s="13">
        <f>SQRT(AX38)</f>
        <v>0.31622776601683794</v>
      </c>
      <c r="AZ38" s="13">
        <f>IF(AY38&gt;0,AY38/AY$99*1000, 0)</f>
        <v>15.278497570670767</v>
      </c>
      <c r="BA38" s="27">
        <v>22</v>
      </c>
      <c r="BB38" s="13">
        <f>SQRT(BA38)</f>
        <v>4.6904157598234297</v>
      </c>
      <c r="BC38" s="13">
        <f>IF(BB38&gt;0,BB38/BB$99*1000, 0)</f>
        <v>10.869937460354548</v>
      </c>
      <c r="BD38" s="24">
        <v>0.24</v>
      </c>
      <c r="BE38" s="21">
        <f>SQRT(BD38)</f>
        <v>0.4898979485566356</v>
      </c>
      <c r="BF38" s="13">
        <f>IF(BE38&gt;0, BE38/BE$99*10000, 0)</f>
        <v>126.16223334487503</v>
      </c>
      <c r="BG38" s="27">
        <v>6</v>
      </c>
      <c r="BH38" s="13">
        <f>IF(BG38&gt;0, BG38/BG$99*2000, 0)</f>
        <v>16.689847009735743</v>
      </c>
      <c r="BI38" s="30">
        <v>0</v>
      </c>
      <c r="BJ38" s="30">
        <v>0</v>
      </c>
      <c r="BK38" s="30">
        <f>BJ38+BI38</f>
        <v>0</v>
      </c>
      <c r="BL38" s="3"/>
      <c r="BM38" s="1"/>
      <c r="BN38" s="1"/>
      <c r="BO38" s="1"/>
    </row>
    <row r="39" spans="1:67" s="6" customFormat="1" ht="20.100000000000001" customHeight="1" x14ac:dyDescent="0.25">
      <c r="A39" s="1"/>
      <c r="B39" s="1">
        <v>35</v>
      </c>
      <c r="C39" s="50">
        <v>35</v>
      </c>
      <c r="D39" s="51" t="str">
        <f>IF(C39&lt;B39,"▲"&amp;B39-C39,IF(C39&gt;B39,"▼"&amp;C39-B39,"—"))</f>
        <v>—</v>
      </c>
      <c r="E39" s="52" t="s">
        <v>50</v>
      </c>
      <c r="F39" s="53">
        <f>G39+O39+W39+AE39+BF39+BH39+BK39</f>
        <v>642.78685710613263</v>
      </c>
      <c r="G39" s="19">
        <f>IF(COUNTIF(H39:INDEX(H39:N39,$B$1),"&gt;0")=0,0,
SUMIF(H39:INDEX(H39:N39,$B$1),"&gt;0",H39:INDEX(H39:N39,$B$1))*$B$1/COUNTIF(H39:INDEX(H39:N39,$B$1),"&gt;0")*
IF($B$1-COUNTIF(H39:INDEX(H39:N39,$B$1),"&gt;0")&lt;=2,1,
IF($B$1-COUNTIF(H39:INDEX(H39:N39,$B$1),"&gt;0")=3,0.8,
IF($B$1-COUNTIF(H39:INDEX(H39:N39,$B$1),"&gt;0")=4,0.6,
IF($B$1-COUNTIF(H39:INDEX(H39:N39,$B$1),"&gt;0")=5,0.4,
IF($B$1-COUNTIF(H39:INDEX(H39:N39,$B$1),"&gt;0")=6,0.2,0))))))</f>
        <v>439</v>
      </c>
      <c r="H39" s="3">
        <v>41</v>
      </c>
      <c r="I39" s="3">
        <v>90</v>
      </c>
      <c r="J39" s="3">
        <v>52</v>
      </c>
      <c r="K39" s="3">
        <v>73</v>
      </c>
      <c r="L39" s="3">
        <v>34</v>
      </c>
      <c r="M39" s="3">
        <v>71</v>
      </c>
      <c r="N39" s="3">
        <v>78</v>
      </c>
      <c r="O39" s="13">
        <f>0.2*IF(COUNTIF(P39:INDEX(P39:V39,$B$1),"&gt;0")=0,0,
(SUMIF(P39:INDEX(P39:V39,$B$1),"&gt;0",P39:INDEX(P39:V39,$B$1))*$B$1/COUNTIF(P39:INDEX(P39:V39,$B$1),"&gt;0"))*
IF($B$1-COUNTIF(P39:INDEX(P39:V39,$B$1),"&gt;0")&lt;=2,1,
IF($B$1-COUNTIF(P39:INDEX(P39:V39,$B$1),"&gt;0")=3,0.8,
IF($B$1-COUNTIF(P39:INDEX(P39:V39,$B$1),"&gt;0")=4,0.6,
IF($B$1-COUNTIF(P39:INDEX(P39:V39,$B$1),"&gt;0")=5,0.4,
IF($B$1-COUNTIF(P39:INDEX(P39:V39,$B$1),"&gt;0")=6,0.2,0))))))</f>
        <v>48</v>
      </c>
      <c r="P39" s="3">
        <v>14</v>
      </c>
      <c r="Q39" s="3">
        <v>29</v>
      </c>
      <c r="R39" s="3">
        <v>57</v>
      </c>
      <c r="S39" s="3">
        <v>47</v>
      </c>
      <c r="T39" s="3">
        <v>25</v>
      </c>
      <c r="U39" s="3">
        <v>38</v>
      </c>
      <c r="V39" s="3">
        <v>30</v>
      </c>
      <c r="W39" s="3">
        <f>MIN(100,
IF($B$1&gt;=1,IFERROR(VALUE(SUBSTITUTE(SUBSTITUTE(TRIM(X39),"A",""),"B","")),0),0)+
IF($B$1&gt;=2,IFERROR(VALUE(SUBSTITUTE(SUBSTITUTE(TRIM(Y39),"A",""),"B","")),0),0)+
IF($B$1&gt;=3,IFERROR(VALUE(SUBSTITUTE(SUBSTITUTE(TRIM(Z39),"A",""),"B","")),0),0)+
IF($B$1&gt;=4,IFERROR(VALUE(SUBSTITUTE(SUBSTITUTE(TRIM(AA39),"A",""),"B","")),0),0)+
IF($B$1&gt;=5,IFERROR(VALUE(SUBSTITUTE(SUBSTITUTE(TRIM(AB39),"A",""),"B","")),0),0)+
IF($B$1&gt;=6,IFERROR(VALUE(SUBSTITUTE(SUBSTITUTE(TRIM(AC39),"A",""),"B","")),0),0)+
IF($B$1&gt;=7,IFERROR(VALUE(SUBSTITUTE(SUBSTITUTE(TRIM(AD39),"A",""),"B","")),0),0)
)</f>
        <v>20</v>
      </c>
      <c r="X39" s="3"/>
      <c r="Y39" s="3"/>
      <c r="Z39" s="3"/>
      <c r="AA39" s="3"/>
      <c r="AB39" s="3"/>
      <c r="AC39" s="3" t="s">
        <v>156</v>
      </c>
      <c r="AD39" s="3"/>
      <c r="AE39" s="13">
        <f>AH39+AK39+AN39+AQ39+AT39+AW39+AZ39+BC39</f>
        <v>50.961616743050051</v>
      </c>
      <c r="AF39" s="13"/>
      <c r="AG39" s="13">
        <f>SQRT(AF39)</f>
        <v>0</v>
      </c>
      <c r="AH39" s="13">
        <f>IF(AG39&gt;0,AG39/AG$99*1000, 0)</f>
        <v>0</v>
      </c>
      <c r="AI39" s="13"/>
      <c r="AJ39" s="13">
        <f>SQRT(AI39)</f>
        <v>0</v>
      </c>
      <c r="AK39" s="13">
        <f>IF(AJ39&gt;0,AJ39/AJ$99*1000, 0)</f>
        <v>0</v>
      </c>
      <c r="AL39" s="13"/>
      <c r="AM39" s="13">
        <f>SQRT(AL39)</f>
        <v>0</v>
      </c>
      <c r="AN39" s="13">
        <f>IF(AM39&gt;0,AM39/AM$99*1000, 0)</f>
        <v>0</v>
      </c>
      <c r="AO39" s="13"/>
      <c r="AP39" s="13">
        <f>SQRT(AO39)</f>
        <v>0</v>
      </c>
      <c r="AQ39" s="13">
        <f>IF(AP39&gt;0,AP39/AP$99*1000, 0)</f>
        <v>0</v>
      </c>
      <c r="AR39" s="13">
        <v>0.3</v>
      </c>
      <c r="AS39" s="13">
        <f>SQRT(AR39)</f>
        <v>0.54772255750516607</v>
      </c>
      <c r="AT39" s="13">
        <f>IF(AS39&gt;0,AS39/AS$99*1000, 0)</f>
        <v>31.019288756094944</v>
      </c>
      <c r="AU39" s="13">
        <v>0.2</v>
      </c>
      <c r="AV39" s="13">
        <f>SQRT(AU39)</f>
        <v>0.44721359549995793</v>
      </c>
      <c r="AW39" s="13">
        <f>IF(AV39&gt;0,AV39/AV$99*1000, 0)</f>
        <v>19.942327986955107</v>
      </c>
      <c r="AX39" s="13"/>
      <c r="AY39" s="13">
        <f>SQRT(AX39)</f>
        <v>0</v>
      </c>
      <c r="AZ39" s="13">
        <f>IF(AY39&gt;0,AY39/AY$99*1000, 0)</f>
        <v>0</v>
      </c>
      <c r="BA39" s="27"/>
      <c r="BB39" s="13">
        <f>SQRT(BA39)</f>
        <v>0</v>
      </c>
      <c r="BC39" s="13">
        <f>IF(BB39&gt;0,BB39/BB$99*1000, 0)</f>
        <v>0</v>
      </c>
      <c r="BD39" s="24">
        <v>7.0000000000000007E-2</v>
      </c>
      <c r="BE39" s="21">
        <f>SQRT(BD39)</f>
        <v>0.26457513110645908</v>
      </c>
      <c r="BF39" s="13">
        <f>IF(BE39&gt;0, BE39/BE$99*10000, 0)</f>
        <v>68.135393353346743</v>
      </c>
      <c r="BG39" s="27">
        <v>6</v>
      </c>
      <c r="BH39" s="13">
        <f>IF(BG39&gt;0, BG39/BG$99*2000, 0)</f>
        <v>16.689847009735743</v>
      </c>
      <c r="BI39" s="30">
        <v>0</v>
      </c>
      <c r="BJ39" s="30">
        <v>0</v>
      </c>
      <c r="BK39" s="30">
        <f>BJ39+BI39</f>
        <v>0</v>
      </c>
      <c r="BL39" s="3"/>
      <c r="BM39" s="1"/>
      <c r="BN39" s="1"/>
      <c r="BO39" s="1"/>
    </row>
    <row r="40" spans="1:67" s="6" customFormat="1" ht="20.100000000000001" customHeight="1" x14ac:dyDescent="0.25">
      <c r="A40" s="1"/>
      <c r="B40" s="1">
        <v>34</v>
      </c>
      <c r="C40" s="50">
        <v>36</v>
      </c>
      <c r="D40" s="51" t="str">
        <f>IF(C40&lt;B40,"▲"&amp;B40-C40,IF(C40&gt;B40,"▼"&amp;C40-B40,"—"))</f>
        <v>▼2</v>
      </c>
      <c r="E40" s="52" t="s">
        <v>51</v>
      </c>
      <c r="F40" s="53">
        <f>G40+O40+W40+AE40+BF40+BH40+BK40</f>
        <v>630.76016833082838</v>
      </c>
      <c r="G40" s="19">
        <f>IF(COUNTIF(H40:INDEX(H40:N40,$B$1),"&gt;0")=0,0,
SUMIF(H40:INDEX(H40:N40,$B$1),"&gt;0",H40:INDEX(H40:N40,$B$1))*$B$1/COUNTIF(H40:INDEX(H40:N40,$B$1),"&gt;0")*
IF($B$1-COUNTIF(H40:INDEX(H40:N40,$B$1),"&gt;0")&lt;=2,1,
IF($B$1-COUNTIF(H40:INDEX(H40:N40,$B$1),"&gt;0")=3,0.8,
IF($B$1-COUNTIF(H40:INDEX(H40:N40,$B$1),"&gt;0")=4,0.6,
IF($B$1-COUNTIF(H40:INDEX(H40:N40,$B$1),"&gt;0")=5,0.4,
IF($B$1-COUNTIF(H40:INDEX(H40:N40,$B$1),"&gt;0")=6,0.2,0))))))</f>
        <v>376</v>
      </c>
      <c r="H40" s="3">
        <v>67</v>
      </c>
      <c r="I40" s="3">
        <v>53</v>
      </c>
      <c r="J40" s="3">
        <v>54</v>
      </c>
      <c r="K40" s="3">
        <v>28</v>
      </c>
      <c r="L40" s="3">
        <v>47</v>
      </c>
      <c r="M40" s="3">
        <v>88</v>
      </c>
      <c r="N40" s="3">
        <v>39</v>
      </c>
      <c r="O40" s="13">
        <f>0.2*IF(COUNTIF(P40:INDEX(P40:V40,$B$1),"&gt;0")=0,0,
(SUMIF(P40:INDEX(P40:V40,$B$1),"&gt;0",P40:INDEX(P40:V40,$B$1))*$B$1/COUNTIF(P40:INDEX(P40:V40,$B$1),"&gt;0"))*
IF($B$1-COUNTIF(P40:INDEX(P40:V40,$B$1),"&gt;0")&lt;=2,1,
IF($B$1-COUNTIF(P40:INDEX(P40:V40,$B$1),"&gt;0")=3,0.8,
IF($B$1-COUNTIF(P40:INDEX(P40:V40,$B$1),"&gt;0")=4,0.6,
IF($B$1-COUNTIF(P40:INDEX(P40:V40,$B$1),"&gt;0")=5,0.4,
IF($B$1-COUNTIF(P40:INDEX(P40:V40,$B$1),"&gt;0")=6,0.2,0))))))</f>
        <v>52.6</v>
      </c>
      <c r="P40" s="3">
        <v>42</v>
      </c>
      <c r="Q40" s="3">
        <v>29</v>
      </c>
      <c r="R40" s="3">
        <v>39</v>
      </c>
      <c r="S40" s="3">
        <v>26</v>
      </c>
      <c r="T40" s="3">
        <v>40</v>
      </c>
      <c r="U40" s="3">
        <v>44</v>
      </c>
      <c r="V40" s="3">
        <v>43</v>
      </c>
      <c r="W40" s="3">
        <f>MIN(100,
IF($B$1&gt;=1,IFERROR(VALUE(SUBSTITUTE(SUBSTITUTE(TRIM(X40),"A",""),"B","")),0),0)+
IF($B$1&gt;=2,IFERROR(VALUE(SUBSTITUTE(SUBSTITUTE(TRIM(Y40),"A",""),"B","")),0),0)+
IF($B$1&gt;=3,IFERROR(VALUE(SUBSTITUTE(SUBSTITUTE(TRIM(Z40),"A",""),"B","")),0),0)+
IF($B$1&gt;=4,IFERROR(VALUE(SUBSTITUTE(SUBSTITUTE(TRIM(AA40),"A",""),"B","")),0),0)+
IF($B$1&gt;=5,IFERROR(VALUE(SUBSTITUTE(SUBSTITUTE(TRIM(AB40),"A",""),"B","")),0),0)+
IF($B$1&gt;=6,IFERROR(VALUE(SUBSTITUTE(SUBSTITUTE(TRIM(AC40),"A",""),"B","")),0),0)+
IF($B$1&gt;=7,IFERROR(VALUE(SUBSTITUTE(SUBSTITUTE(TRIM(AD40),"A",""),"B","")),0),0)
)</f>
        <v>40</v>
      </c>
      <c r="X40" s="3"/>
      <c r="Y40" s="3"/>
      <c r="Z40" s="3"/>
      <c r="AA40" s="3"/>
      <c r="AB40" s="3"/>
      <c r="AC40" s="3" t="s">
        <v>156</v>
      </c>
      <c r="AD40" s="3" t="s">
        <v>180</v>
      </c>
      <c r="AE40" s="13">
        <f>AH40+AK40+AN40+AQ40+AT40+AW40+AZ40+BC40</f>
        <v>72.377873381787893</v>
      </c>
      <c r="AF40" s="13"/>
      <c r="AG40" s="13">
        <f>SQRT(AF40)</f>
        <v>0</v>
      </c>
      <c r="AH40" s="13">
        <f>IF(AG40&gt;0,AG40/AG$99*1000, 0)</f>
        <v>0</v>
      </c>
      <c r="AI40" s="13">
        <v>1.4</v>
      </c>
      <c r="AJ40" s="13">
        <f>SQRT(AI40)</f>
        <v>1.1832159566199232</v>
      </c>
      <c r="AK40" s="13">
        <f>IF(AJ40&gt;0,AJ40/AJ$99*1000, 0)</f>
        <v>34.998382345999957</v>
      </c>
      <c r="AL40" s="13">
        <v>0.1</v>
      </c>
      <c r="AM40" s="13">
        <f>SQRT(AL40)</f>
        <v>0.31622776601683794</v>
      </c>
      <c r="AN40" s="13">
        <f>IF(AM40&gt;0,AM40/AM$99*1000, 0)</f>
        <v>12.802206142256285</v>
      </c>
      <c r="AO40" s="13"/>
      <c r="AP40" s="13">
        <f>SQRT(AO40)</f>
        <v>0</v>
      </c>
      <c r="AQ40" s="13">
        <f>IF(AP40&gt;0,AP40/AP$99*1000, 0)</f>
        <v>0</v>
      </c>
      <c r="AR40" s="13"/>
      <c r="AS40" s="13">
        <f>SQRT(AR40)</f>
        <v>0</v>
      </c>
      <c r="AT40" s="13">
        <f>IF(AS40&gt;0,AS40/AS$99*1000, 0)</f>
        <v>0</v>
      </c>
      <c r="AU40" s="13">
        <v>0.2</v>
      </c>
      <c r="AV40" s="13">
        <f>SQRT(AU40)</f>
        <v>0.44721359549995793</v>
      </c>
      <c r="AW40" s="13">
        <f>IF(AV40&gt;0,AV40/AV$99*1000, 0)</f>
        <v>19.942327986955107</v>
      </c>
      <c r="AX40" s="13"/>
      <c r="AY40" s="13">
        <f>SQRT(AX40)</f>
        <v>0</v>
      </c>
      <c r="AZ40" s="13">
        <f>IF(AY40&gt;0,AY40/AY$99*1000, 0)</f>
        <v>0</v>
      </c>
      <c r="BA40" s="27">
        <v>4</v>
      </c>
      <c r="BB40" s="13">
        <f>SQRT(BA40)</f>
        <v>2</v>
      </c>
      <c r="BC40" s="13">
        <f>IF(BB40&gt;0,BB40/BB$99*1000, 0)</f>
        <v>4.6349569065765479</v>
      </c>
      <c r="BD40" s="24">
        <v>0.1</v>
      </c>
      <c r="BE40" s="21">
        <f>SQRT(BD40)</f>
        <v>0.31622776601683794</v>
      </c>
      <c r="BF40" s="13">
        <f>IF(BE40&gt;0, BE40/BE$99*10000, 0)</f>
        <v>81.437371444172513</v>
      </c>
      <c r="BG40" s="27">
        <v>3</v>
      </c>
      <c r="BH40" s="13">
        <f>IF(BG40&gt;0, BG40/BG$99*2000, 0)</f>
        <v>8.3449235048678716</v>
      </c>
      <c r="BI40" s="30">
        <v>0</v>
      </c>
      <c r="BJ40" s="30">
        <v>0</v>
      </c>
      <c r="BK40" s="30">
        <f>BJ40+BI40</f>
        <v>0</v>
      </c>
      <c r="BL40" s="3"/>
      <c r="BM40" s="1"/>
      <c r="BN40" s="1"/>
      <c r="BO40" s="1"/>
    </row>
    <row r="41" spans="1:67" s="6" customFormat="1" ht="20.100000000000001" customHeight="1" x14ac:dyDescent="0.25">
      <c r="A41" s="1"/>
      <c r="B41" s="1">
        <v>36</v>
      </c>
      <c r="C41" s="50">
        <v>37</v>
      </c>
      <c r="D41" s="51" t="str">
        <f>IF(C41&lt;B41,"▲"&amp;B41-C41,IF(C41&gt;B41,"▼"&amp;C41-B41,"—"))</f>
        <v>▼1</v>
      </c>
      <c r="E41" s="52" t="s">
        <v>52</v>
      </c>
      <c r="F41" s="53">
        <f>G41+O41+W41+AE41+BF41+BH41+BK41</f>
        <v>606.5714070640804</v>
      </c>
      <c r="G41" s="19">
        <f>IF(COUNTIF(H41:INDEX(H41:N41,$B$1),"&gt;0")=0,0,
SUMIF(H41:INDEX(H41:N41,$B$1),"&gt;0",H41:INDEX(H41:N41,$B$1))*$B$1/COUNTIF(H41:INDEX(H41:N41,$B$1),"&gt;0")*
IF($B$1-COUNTIF(H41:INDEX(H41:N41,$B$1),"&gt;0")&lt;=2,1,
IF($B$1-COUNTIF(H41:INDEX(H41:N41,$B$1),"&gt;0")=3,0.8,
IF($B$1-COUNTIF(H41:INDEX(H41:N41,$B$1),"&gt;0")=4,0.6,
IF($B$1-COUNTIF(H41:INDEX(H41:N41,$B$1),"&gt;0")=5,0.4,
IF($B$1-COUNTIF(H41:INDEX(H41:N41,$B$1),"&gt;0")=6,0.2,0))))))</f>
        <v>341</v>
      </c>
      <c r="H41" s="3">
        <v>57</v>
      </c>
      <c r="I41" s="3">
        <v>51</v>
      </c>
      <c r="J41" s="3">
        <v>57</v>
      </c>
      <c r="K41" s="3">
        <v>47</v>
      </c>
      <c r="L41" s="3">
        <v>45</v>
      </c>
      <c r="M41" s="3">
        <v>42</v>
      </c>
      <c r="N41" s="3">
        <v>42</v>
      </c>
      <c r="O41" s="13">
        <f>0.2*IF(COUNTIF(P41:INDEX(P41:V41,$B$1),"&gt;0")=0,0,
(SUMIF(P41:INDEX(P41:V41,$B$1),"&gt;0",P41:INDEX(P41:V41,$B$1))*$B$1/COUNTIF(P41:INDEX(P41:V41,$B$1),"&gt;0"))*
IF($B$1-COUNTIF(P41:INDEX(P41:V41,$B$1),"&gt;0")&lt;=2,1,
IF($B$1-COUNTIF(P41:INDEX(P41:V41,$B$1),"&gt;0")=3,0.8,
IF($B$1-COUNTIF(P41:INDEX(P41:V41,$B$1),"&gt;0")=4,0.6,
IF($B$1-COUNTIF(P41:INDEX(P41:V41,$B$1),"&gt;0")=5,0.4,
IF($B$1-COUNTIF(P41:INDEX(P41:V41,$B$1),"&gt;0")=6,0.2,0))))))</f>
        <v>58.6</v>
      </c>
      <c r="P41" s="3">
        <v>40</v>
      </c>
      <c r="Q41" s="3">
        <v>39</v>
      </c>
      <c r="R41" s="3">
        <v>48</v>
      </c>
      <c r="S41" s="3">
        <v>44</v>
      </c>
      <c r="T41" s="3">
        <v>40</v>
      </c>
      <c r="U41" s="3">
        <v>38</v>
      </c>
      <c r="V41" s="3">
        <v>44</v>
      </c>
      <c r="W41" s="3">
        <f>MIN(100,
IF($B$1&gt;=1,IFERROR(VALUE(SUBSTITUTE(SUBSTITUTE(TRIM(X41),"A",""),"B","")),0),0)+
IF($B$1&gt;=2,IFERROR(VALUE(SUBSTITUTE(SUBSTITUTE(TRIM(Y41),"A",""),"B","")),0),0)+
IF($B$1&gt;=3,IFERROR(VALUE(SUBSTITUTE(SUBSTITUTE(TRIM(Z41),"A",""),"B","")),0),0)+
IF($B$1&gt;=4,IFERROR(VALUE(SUBSTITUTE(SUBSTITUTE(TRIM(AA41),"A",""),"B","")),0),0)+
IF($B$1&gt;=5,IFERROR(VALUE(SUBSTITUTE(SUBSTITUTE(TRIM(AB41),"A",""),"B","")),0),0)+
IF($B$1&gt;=6,IFERROR(VALUE(SUBSTITUTE(SUBSTITUTE(TRIM(AC41),"A",""),"B","")),0),0)+
IF($B$1&gt;=7,IFERROR(VALUE(SUBSTITUTE(SUBSTITUTE(TRIM(AD41),"A",""),"B","")),0),0)
)</f>
        <v>20</v>
      </c>
      <c r="X41" s="3"/>
      <c r="Y41" s="3"/>
      <c r="Z41" s="3"/>
      <c r="AA41" s="3"/>
      <c r="AB41" s="3"/>
      <c r="AC41" s="3" t="s">
        <v>156</v>
      </c>
      <c r="AD41" s="3"/>
      <c r="AE41" s="13">
        <f>AH41+AK41+AN41+AQ41+AT41+AW41+AZ41+BC41</f>
        <v>59.643591908650826</v>
      </c>
      <c r="AF41" s="13"/>
      <c r="AG41" s="13">
        <f>SQRT(AF41)</f>
        <v>0</v>
      </c>
      <c r="AH41" s="13">
        <f>IF(AG41&gt;0,AG41/AG$99*1000, 0)</f>
        <v>0</v>
      </c>
      <c r="AI41" s="13">
        <v>0.3</v>
      </c>
      <c r="AJ41" s="13">
        <f>SQRT(AI41)</f>
        <v>0.54772255750516607</v>
      </c>
      <c r="AK41" s="13">
        <f>IF(AJ41&gt;0,AJ41/AJ$99*1000, 0)</f>
        <v>16.201102917725795</v>
      </c>
      <c r="AL41" s="13"/>
      <c r="AM41" s="13">
        <f>SQRT(AL41)</f>
        <v>0</v>
      </c>
      <c r="AN41" s="13">
        <f>IF(AM41&gt;0,AM41/AM$99*1000, 0)</f>
        <v>0</v>
      </c>
      <c r="AO41" s="13"/>
      <c r="AP41" s="13">
        <f>SQRT(AO41)</f>
        <v>0</v>
      </c>
      <c r="AQ41" s="13">
        <f>IF(AP41&gt;0,AP41/AP$99*1000, 0)</f>
        <v>0</v>
      </c>
      <c r="AR41" s="13">
        <v>0.2</v>
      </c>
      <c r="AS41" s="13">
        <f>SQRT(AR41)</f>
        <v>0.44721359549995793</v>
      </c>
      <c r="AT41" s="13">
        <f>IF(AS41&gt;0,AS41/AS$99*1000, 0)</f>
        <v>25.327143212161378</v>
      </c>
      <c r="AU41" s="13">
        <v>0.1</v>
      </c>
      <c r="AV41" s="13">
        <f>SQRT(AU41)</f>
        <v>0.31622776601683794</v>
      </c>
      <c r="AW41" s="13">
        <f>IF(AV41&gt;0,AV41/AV$99*1000, 0)</f>
        <v>14.101355352222228</v>
      </c>
      <c r="AX41" s="13"/>
      <c r="AY41" s="13">
        <f>SQRT(AX41)</f>
        <v>0</v>
      </c>
      <c r="AZ41" s="13">
        <f>IF(AY41&gt;0,AY41/AY$99*1000, 0)</f>
        <v>0</v>
      </c>
      <c r="BA41" s="27">
        <v>3</v>
      </c>
      <c r="BB41" s="13">
        <f>SQRT(BA41)</f>
        <v>1.7320508075688772</v>
      </c>
      <c r="BC41" s="13">
        <f>IF(BB41&gt;0,BB41/BB$99*1000, 0)</f>
        <v>4.0139904265414277</v>
      </c>
      <c r="BD41" s="24">
        <v>0.09</v>
      </c>
      <c r="BE41" s="21">
        <f>SQRT(BD41)</f>
        <v>0.3</v>
      </c>
      <c r="BF41" s="13">
        <f>IF(BE41&gt;0, BE41/BE$99*10000, 0)</f>
        <v>77.258274126222304</v>
      </c>
      <c r="BG41" s="27">
        <v>18</v>
      </c>
      <c r="BH41" s="13">
        <f>IF(BG41&gt;0, BG41/BG$99*2000, 0)</f>
        <v>50.06954102920723</v>
      </c>
      <c r="BI41" s="30">
        <v>0</v>
      </c>
      <c r="BJ41" s="30">
        <v>0</v>
      </c>
      <c r="BK41" s="30">
        <f>BJ41+BI41</f>
        <v>0</v>
      </c>
      <c r="BL41" s="3"/>
      <c r="BM41" s="1"/>
      <c r="BN41" s="1"/>
      <c r="BO41" s="1"/>
    </row>
    <row r="42" spans="1:67" s="6" customFormat="1" ht="20.100000000000001" customHeight="1" x14ac:dyDescent="0.25">
      <c r="A42" s="1"/>
      <c r="B42" s="1">
        <v>37</v>
      </c>
      <c r="C42" s="50">
        <v>38</v>
      </c>
      <c r="D42" s="51" t="str">
        <f>IF(C42&lt;B42,"▲"&amp;B42-C42,IF(C42&gt;B42,"▼"&amp;C42-B42,"—"))</f>
        <v>▼1</v>
      </c>
      <c r="E42" s="52" t="s">
        <v>48</v>
      </c>
      <c r="F42" s="53">
        <f>G42+O42+W42+AE42+BF42+BH42+BK42</f>
        <v>594.64186563343196</v>
      </c>
      <c r="G42" s="19">
        <f>IF(COUNTIF(H42:INDEX(H42:N42,$B$1),"&gt;0")=0,0,
SUMIF(H42:INDEX(H42:N42,$B$1),"&gt;0",H42:INDEX(H42:N42,$B$1))*$B$1/COUNTIF(H42:INDEX(H42:N42,$B$1),"&gt;0")*
IF($B$1-COUNTIF(H42:INDEX(H42:N42,$B$1),"&gt;0")&lt;=2,1,
IF($B$1-COUNTIF(H42:INDEX(H42:N42,$B$1),"&gt;0")=3,0.8,
IF($B$1-COUNTIF(H42:INDEX(H42:N42,$B$1),"&gt;0")=4,0.6,
IF($B$1-COUNTIF(H42:INDEX(H42:N42,$B$1),"&gt;0")=5,0.4,
IF($B$1-COUNTIF(H42:INDEX(H42:N42,$B$1),"&gt;0")=6,0.2,0))))))</f>
        <v>389</v>
      </c>
      <c r="H42" s="3">
        <v>50</v>
      </c>
      <c r="I42" s="3">
        <v>55</v>
      </c>
      <c r="J42" s="3">
        <v>54</v>
      </c>
      <c r="K42" s="3">
        <v>71</v>
      </c>
      <c r="L42" s="3">
        <v>30</v>
      </c>
      <c r="M42" s="3">
        <v>84</v>
      </c>
      <c r="N42" s="3">
        <v>45</v>
      </c>
      <c r="O42" s="13">
        <f>0.2*IF(COUNTIF(P42:INDEX(P42:V42,$B$1),"&gt;0")=0,0,
(SUMIF(P42:INDEX(P42:V42,$B$1),"&gt;0",P42:INDEX(P42:V42,$B$1))*$B$1/COUNTIF(P42:INDEX(P42:V42,$B$1),"&gt;0"))*
IF($B$1-COUNTIF(P42:INDEX(P42:V42,$B$1),"&gt;0")&lt;=2,1,
IF($B$1-COUNTIF(P42:INDEX(P42:V42,$B$1),"&gt;0")=3,0.8,
IF($B$1-COUNTIF(P42:INDEX(P42:V42,$B$1),"&gt;0")=4,0.6,
IF($B$1-COUNTIF(P42:INDEX(P42:V42,$B$1),"&gt;0")=5,0.4,
IF($B$1-COUNTIF(P42:INDEX(P42:V42,$B$1),"&gt;0")=6,0.2,0))))))</f>
        <v>62</v>
      </c>
      <c r="P42" s="3">
        <v>46</v>
      </c>
      <c r="Q42" s="3">
        <v>37</v>
      </c>
      <c r="R42" s="3">
        <v>50</v>
      </c>
      <c r="S42" s="3">
        <v>47</v>
      </c>
      <c r="T42" s="3">
        <v>45</v>
      </c>
      <c r="U42" s="3">
        <v>41</v>
      </c>
      <c r="V42" s="3">
        <v>44</v>
      </c>
      <c r="W42" s="3">
        <f>MIN(100,
IF($B$1&gt;=1,IFERROR(VALUE(SUBSTITUTE(SUBSTITUTE(TRIM(X42),"A",""),"B","")),0),0)+
IF($B$1&gt;=2,IFERROR(VALUE(SUBSTITUTE(SUBSTITUTE(TRIM(Y42),"A",""),"B","")),0),0)+
IF($B$1&gt;=3,IFERROR(VALUE(SUBSTITUTE(SUBSTITUTE(TRIM(Z42),"A",""),"B","")),0),0)+
IF($B$1&gt;=4,IFERROR(VALUE(SUBSTITUTE(SUBSTITUTE(TRIM(AA42),"A",""),"B","")),0),0)+
IF($B$1&gt;=5,IFERROR(VALUE(SUBSTITUTE(SUBSTITUTE(TRIM(AB42),"A",""),"B","")),0),0)+
IF($B$1&gt;=6,IFERROR(VALUE(SUBSTITUTE(SUBSTITUTE(TRIM(AC42),"A",""),"B","")),0),0)+
IF($B$1&gt;=7,IFERROR(VALUE(SUBSTITUTE(SUBSTITUTE(TRIM(AD42),"A",""),"B","")),0),0)
)</f>
        <v>40</v>
      </c>
      <c r="X42" s="3" t="s">
        <v>16</v>
      </c>
      <c r="Y42" s="3"/>
      <c r="Z42" s="3"/>
      <c r="AA42" s="3"/>
      <c r="AB42" s="3"/>
      <c r="AC42" s="3" t="s">
        <v>156</v>
      </c>
      <c r="AD42" s="3"/>
      <c r="AE42" s="13">
        <f>AH42+AK42+AN42+AQ42+AT42+AW42+AZ42+BC42</f>
        <v>22.457142745336078</v>
      </c>
      <c r="AF42" s="13"/>
      <c r="AG42" s="13">
        <f>SQRT(AF42)</f>
        <v>0</v>
      </c>
      <c r="AH42" s="13">
        <f>IF(AG42&gt;0,AG42/AG$99*1000, 0)</f>
        <v>0</v>
      </c>
      <c r="AI42" s="13"/>
      <c r="AJ42" s="13">
        <f>SQRT(AI42)</f>
        <v>0</v>
      </c>
      <c r="AK42" s="13">
        <f>IF(AJ42&gt;0,AJ42/AJ$99*1000, 0)</f>
        <v>0</v>
      </c>
      <c r="AL42" s="13"/>
      <c r="AM42" s="13">
        <f>SQRT(AL42)</f>
        <v>0</v>
      </c>
      <c r="AN42" s="13">
        <f>IF(AM42&gt;0,AM42/AM$99*1000, 0)</f>
        <v>0</v>
      </c>
      <c r="AO42" s="13"/>
      <c r="AP42" s="13">
        <f>SQRT(AO42)</f>
        <v>0</v>
      </c>
      <c r="AQ42" s="13">
        <f>IF(AP42&gt;0,AP42/AP$99*1000, 0)</f>
        <v>0</v>
      </c>
      <c r="AR42" s="13"/>
      <c r="AS42" s="13">
        <f>SQRT(AR42)</f>
        <v>0</v>
      </c>
      <c r="AT42" s="13">
        <f>IF(AS42&gt;0,AS42/AS$99*1000, 0)</f>
        <v>0</v>
      </c>
      <c r="AU42" s="13">
        <v>0.1</v>
      </c>
      <c r="AV42" s="13">
        <f>SQRT(AU42)</f>
        <v>0.31622776601683794</v>
      </c>
      <c r="AW42" s="13">
        <f>IF(AV42&gt;0,AV42/AV$99*1000, 0)</f>
        <v>14.101355352222228</v>
      </c>
      <c r="AX42" s="13"/>
      <c r="AY42" s="13">
        <f>SQRT(AX42)</f>
        <v>0</v>
      </c>
      <c r="AZ42" s="13">
        <f>IF(AY42&gt;0,AY42/AY$99*1000, 0)</f>
        <v>0</v>
      </c>
      <c r="BA42" s="27">
        <v>13</v>
      </c>
      <c r="BB42" s="13">
        <f>SQRT(BA42)</f>
        <v>3.6055512754639891</v>
      </c>
      <c r="BC42" s="13">
        <f>IF(BB42&gt;0,BB42/BB$99*1000, 0)</f>
        <v>8.3557873931138502</v>
      </c>
      <c r="BD42" s="24">
        <v>0.08</v>
      </c>
      <c r="BE42" s="21">
        <f>SQRT(BD42)</f>
        <v>0.28284271247461901</v>
      </c>
      <c r="BF42" s="13">
        <f>IF(BE42&gt;0, BE42/BE$99*10000, 0)</f>
        <v>72.83979938322797</v>
      </c>
      <c r="BG42" s="27">
        <v>3</v>
      </c>
      <c r="BH42" s="13">
        <f>IF(BG42&gt;0, BG42/BG$99*2000, 0)</f>
        <v>8.3449235048678716</v>
      </c>
      <c r="BI42" s="30">
        <v>0</v>
      </c>
      <c r="BJ42" s="30">
        <v>0</v>
      </c>
      <c r="BK42" s="30">
        <f>BJ42+BI42</f>
        <v>0</v>
      </c>
      <c r="BL42" s="3"/>
      <c r="BM42" s="1"/>
      <c r="BN42" s="1"/>
      <c r="BO42" s="1"/>
    </row>
    <row r="43" spans="1:67" s="6" customFormat="1" ht="20.100000000000001" customHeight="1" x14ac:dyDescent="0.25">
      <c r="A43" s="1"/>
      <c r="B43" s="1">
        <v>41</v>
      </c>
      <c r="C43" s="50">
        <v>39</v>
      </c>
      <c r="D43" s="51" t="str">
        <f>IF(C43&lt;B43,"▲"&amp;B43-C43,IF(C43&gt;B43,"▼"&amp;C43-B43,"—"))</f>
        <v>▲2</v>
      </c>
      <c r="E43" s="52" t="s">
        <v>77</v>
      </c>
      <c r="F43" s="53">
        <f>G43+O43+W43+AE43+BF43+BH43+BK43</f>
        <v>577.41709965160931</v>
      </c>
      <c r="G43" s="19">
        <f>IF(COUNTIF(H43:INDEX(H43:N43,$B$1),"&gt;0")=0,0,
SUMIF(H43:INDEX(H43:N43,$B$1),"&gt;0",H43:INDEX(H43:N43,$B$1))*$B$1/COUNTIF(H43:INDEX(H43:N43,$B$1),"&gt;0")*
IF($B$1-COUNTIF(H43:INDEX(H43:N43,$B$1),"&gt;0")&lt;=2,1,
IF($B$1-COUNTIF(H43:INDEX(H43:N43,$B$1),"&gt;0")=3,0.8,
IF($B$1-COUNTIF(H43:INDEX(H43:N43,$B$1),"&gt;0")=4,0.6,
IF($B$1-COUNTIF(H43:INDEX(H43:N43,$B$1),"&gt;0")=5,0.4,
IF($B$1-COUNTIF(H43:INDEX(H43:N43,$B$1),"&gt;0")=6,0.2,0))))))</f>
        <v>197</v>
      </c>
      <c r="H43" s="3">
        <v>19</v>
      </c>
      <c r="I43" s="3">
        <v>25</v>
      </c>
      <c r="J43" s="3">
        <v>33</v>
      </c>
      <c r="K43" s="3">
        <v>27</v>
      </c>
      <c r="L43" s="3">
        <v>30</v>
      </c>
      <c r="M43" s="3">
        <v>34</v>
      </c>
      <c r="N43" s="3">
        <v>29</v>
      </c>
      <c r="O43" s="13">
        <f>0.2*IF(COUNTIF(P43:INDEX(P43:V43,$B$1),"&gt;0")=0,0,
(SUMIF(P43:INDEX(P43:V43,$B$1),"&gt;0",P43:INDEX(P43:V43,$B$1))*$B$1/COUNTIF(P43:INDEX(P43:V43,$B$1),"&gt;0"))*
IF($B$1-COUNTIF(P43:INDEX(P43:V43,$B$1),"&gt;0")&lt;=2,1,
IF($B$1-COUNTIF(P43:INDEX(P43:V43,$B$1),"&gt;0")=3,0.8,
IF($B$1-COUNTIF(P43:INDEX(P43:V43,$B$1),"&gt;0")=4,0.6,
IF($B$1-COUNTIF(P43:INDEX(P43:V43,$B$1),"&gt;0")=5,0.4,
IF($B$1-COUNTIF(P43:INDEX(P43:V43,$B$1),"&gt;0")=6,0.2,0))))))</f>
        <v>63.2</v>
      </c>
      <c r="P43" s="3">
        <v>45</v>
      </c>
      <c r="Q43" s="3">
        <v>36</v>
      </c>
      <c r="R43" s="3">
        <v>38</v>
      </c>
      <c r="S43" s="3">
        <v>47</v>
      </c>
      <c r="T43" s="3">
        <v>49</v>
      </c>
      <c r="U43" s="3">
        <v>51</v>
      </c>
      <c r="V43" s="3">
        <v>50</v>
      </c>
      <c r="W43" s="3">
        <f>MIN(100,
IF($B$1&gt;=1,IFERROR(VALUE(SUBSTITUTE(SUBSTITUTE(TRIM(X43),"A",""),"B","")),0),0)+
IF($B$1&gt;=2,IFERROR(VALUE(SUBSTITUTE(SUBSTITUTE(TRIM(Y43),"A",""),"B","")),0),0)+
IF($B$1&gt;=3,IFERROR(VALUE(SUBSTITUTE(SUBSTITUTE(TRIM(Z43),"A",""),"B","")),0),0)+
IF($B$1&gt;=4,IFERROR(VALUE(SUBSTITUTE(SUBSTITUTE(TRIM(AA43),"A",""),"B","")),0),0)+
IF($B$1&gt;=5,IFERROR(VALUE(SUBSTITUTE(SUBSTITUTE(TRIM(AB43),"A",""),"B","")),0),0)+
IF($B$1&gt;=6,IFERROR(VALUE(SUBSTITUTE(SUBSTITUTE(TRIM(AC43),"A",""),"B","")),0),0)+
IF($B$1&gt;=7,IFERROR(VALUE(SUBSTITUTE(SUBSTITUTE(TRIM(AD43),"A",""),"B","")),0),0)
)</f>
        <v>20</v>
      </c>
      <c r="X43" s="3"/>
      <c r="Y43" s="3"/>
      <c r="Z43" s="3"/>
      <c r="AA43" s="3"/>
      <c r="AB43" s="3"/>
      <c r="AC43" s="3" t="s">
        <v>156</v>
      </c>
      <c r="AD43" s="3"/>
      <c r="AE43" s="13">
        <f>AH43+AK43+AN43+AQ43+AT43+AW43+AZ43+BC43</f>
        <v>142.08008727154939</v>
      </c>
      <c r="AF43" s="13"/>
      <c r="AG43" s="13">
        <f>SQRT(AF43)</f>
        <v>0</v>
      </c>
      <c r="AH43" s="13">
        <f>IF(AG43&gt;0,AG43/AG$99*1000, 0)</f>
        <v>0</v>
      </c>
      <c r="AI43" s="13">
        <v>0.6</v>
      </c>
      <c r="AJ43" s="13">
        <f>SQRT(AI43)</f>
        <v>0.7745966692414834</v>
      </c>
      <c r="AK43" s="13">
        <f>IF(AJ43&gt;0,AJ43/AJ$99*1000, 0)</f>
        <v>22.911819471650141</v>
      </c>
      <c r="AL43" s="13">
        <v>1.4</v>
      </c>
      <c r="AM43" s="13">
        <f>SQRT(AL43)</f>
        <v>1.1832159566199232</v>
      </c>
      <c r="AN43" s="13">
        <f>IF(AM43&gt;0,AM43/AM$99*1000, 0)</f>
        <v>47.901469179175955</v>
      </c>
      <c r="AO43" s="13"/>
      <c r="AP43" s="13">
        <f>SQRT(AO43)</f>
        <v>0</v>
      </c>
      <c r="AQ43" s="13">
        <f>IF(AP43&gt;0,AP43/AP$99*1000, 0)</f>
        <v>0</v>
      </c>
      <c r="AR43" s="13">
        <v>0.1</v>
      </c>
      <c r="AS43" s="13">
        <f>SQRT(AR43)</f>
        <v>0.31622776601683794</v>
      </c>
      <c r="AT43" s="13">
        <f>IF(AS43&gt;0,AS43/AS$99*1000, 0)</f>
        <v>17.908994713402151</v>
      </c>
      <c r="AU43" s="13">
        <v>0.1</v>
      </c>
      <c r="AV43" s="13">
        <f>SQRT(AU43)</f>
        <v>0.31622776601683794</v>
      </c>
      <c r="AW43" s="13">
        <f>IF(AV43&gt;0,AV43/AV$99*1000, 0)</f>
        <v>14.101355352222228</v>
      </c>
      <c r="AX43" s="13">
        <v>0.2</v>
      </c>
      <c r="AY43" s="13">
        <f>SQRT(AX43)</f>
        <v>0.44721359549995793</v>
      </c>
      <c r="AZ43" s="13">
        <f>IF(AY43&gt;0,AY43/AY$99*1000, 0)</f>
        <v>21.607058477126984</v>
      </c>
      <c r="BA43" s="27">
        <v>58</v>
      </c>
      <c r="BB43" s="13">
        <f>SQRT(BA43)</f>
        <v>7.6157731058639087</v>
      </c>
      <c r="BC43" s="13">
        <f>IF(BB43&gt;0,BB43/BB$99*1000, 0)</f>
        <v>17.64939007797193</v>
      </c>
      <c r="BD43" s="24">
        <v>0.35</v>
      </c>
      <c r="BE43" s="21">
        <f>SQRT(BD43)</f>
        <v>0.59160797830996159</v>
      </c>
      <c r="BF43" s="13">
        <f>IF(BE43&gt;0, BE43/BE$99*10000, 0)</f>
        <v>152.35537121177063</v>
      </c>
      <c r="BG43" s="27">
        <v>1</v>
      </c>
      <c r="BH43" s="13">
        <f>IF(BG43&gt;0, BG43/BG$99*2000, 0)</f>
        <v>2.7816411682892905</v>
      </c>
      <c r="BI43" s="30">
        <v>0</v>
      </c>
      <c r="BJ43" s="30">
        <v>0</v>
      </c>
      <c r="BK43" s="30">
        <f>BJ43+BI43</f>
        <v>0</v>
      </c>
      <c r="BL43" s="3"/>
      <c r="BM43" s="1"/>
      <c r="BN43" s="1"/>
      <c r="BO43" s="1"/>
    </row>
    <row r="44" spans="1:67" s="6" customFormat="1" ht="20.100000000000001" customHeight="1" x14ac:dyDescent="0.25">
      <c r="A44" s="1"/>
      <c r="B44" s="1">
        <v>92</v>
      </c>
      <c r="C44" s="50">
        <v>40</v>
      </c>
      <c r="D44" s="51" t="str">
        <f>IF(C44&lt;B44,"▲"&amp;B44-C44,IF(C44&gt;B44,"▼"&amp;C44-B44,"—"))</f>
        <v>▲52</v>
      </c>
      <c r="E44" s="52" t="s">
        <v>177</v>
      </c>
      <c r="F44" s="53">
        <f>G44+O44+W44+AE44+BF44+BH44+BK44</f>
        <v>567.44413331174155</v>
      </c>
      <c r="G44" s="19">
        <f>IF(COUNTIF(H44:INDEX(H44:N44,$B$1),"&gt;0")=0,0,
SUMIF(H44:INDEX(H44:N44,$B$1),"&gt;0",H44:INDEX(H44:N44,$B$1))*$B$1/COUNTIF(H44:INDEX(H44:N44,$B$1),"&gt;0")*
IF($B$1-COUNTIF(H44:INDEX(H44:N44,$B$1),"&gt;0")&lt;=2,1,
IF($B$1-COUNTIF(H44:INDEX(H44:N44,$B$1),"&gt;0")=3,0.8,
IF($B$1-COUNTIF(H44:INDEX(H44:N44,$B$1),"&gt;0")=4,0.6,
IF($B$1-COUNTIF(H44:INDEX(H44:N44,$B$1),"&gt;0")=5,0.4,
IF($B$1-COUNTIF(H44:INDEX(H44:N44,$B$1),"&gt;0")=6,0.2,0))))))</f>
        <v>222.6</v>
      </c>
      <c r="H44" s="3">
        <v>-1</v>
      </c>
      <c r="I44" s="3">
        <v>45</v>
      </c>
      <c r="J44" s="3">
        <v>64</v>
      </c>
      <c r="K44" s="3">
        <v>-1</v>
      </c>
      <c r="L44" s="3">
        <v>-1</v>
      </c>
      <c r="M44" s="3">
        <v>-1</v>
      </c>
      <c r="N44" s="3">
        <v>50</v>
      </c>
      <c r="O44" s="13">
        <f>0.2*IF(COUNTIF(P44:INDEX(P44:V44,$B$1),"&gt;0")=0,0,
(SUMIF(P44:INDEX(P44:V44,$B$1),"&gt;0",P44:INDEX(P44:V44,$B$1))*$B$1/COUNTIF(P44:INDEX(P44:V44,$B$1),"&gt;0"))*
IF($B$1-COUNTIF(P44:INDEX(P44:V44,$B$1),"&gt;0")&lt;=2,1,
IF($B$1-COUNTIF(P44:INDEX(P44:V44,$B$1),"&gt;0")=3,0.8,
IF($B$1-COUNTIF(P44:INDEX(P44:V44,$B$1),"&gt;0")=4,0.6,
IF($B$1-COUNTIF(P44:INDEX(P44:V44,$B$1),"&gt;0")=5,0.4,
IF($B$1-COUNTIF(P44:INDEX(P44:V44,$B$1),"&gt;0")=6,0.2,0))))))</f>
        <v>21.28</v>
      </c>
      <c r="P44" s="3">
        <v>-1</v>
      </c>
      <c r="Q44" s="3">
        <v>38</v>
      </c>
      <c r="R44" s="3">
        <v>-1</v>
      </c>
      <c r="S44" s="3">
        <v>-1</v>
      </c>
      <c r="T44" s="3">
        <v>-1</v>
      </c>
      <c r="U44" s="3">
        <v>-1</v>
      </c>
      <c r="V44" s="3">
        <v>38</v>
      </c>
      <c r="W44" s="3">
        <f>MIN(100,
IF($B$1&gt;=1,IFERROR(VALUE(SUBSTITUTE(SUBSTITUTE(TRIM(X44),"A",""),"B","")),0),0)+
IF($B$1&gt;=2,IFERROR(VALUE(SUBSTITUTE(SUBSTITUTE(TRIM(Y44),"A",""),"B","")),0),0)+
IF($B$1&gt;=3,IFERROR(VALUE(SUBSTITUTE(SUBSTITUTE(TRIM(Z44),"A",""),"B","")),0),0)+
IF($B$1&gt;=4,IFERROR(VALUE(SUBSTITUTE(SUBSTITUTE(TRIM(AA44),"A",""),"B","")),0),0)+
IF($B$1&gt;=5,IFERROR(VALUE(SUBSTITUTE(SUBSTITUTE(TRIM(AB44),"A",""),"B","")),0),0)+
IF($B$1&gt;=6,IFERROR(VALUE(SUBSTITUTE(SUBSTITUTE(TRIM(AC44),"A",""),"B","")),0),0)+
IF($B$1&gt;=7,IFERROR(VALUE(SUBSTITUTE(SUBSTITUTE(TRIM(AD44),"A",""),"B","")),0),0)
)</f>
        <v>20</v>
      </c>
      <c r="X44" s="3"/>
      <c r="Y44" s="3" t="s">
        <v>179</v>
      </c>
      <c r="Z44" s="3"/>
      <c r="AA44" s="3"/>
      <c r="AB44" s="3"/>
      <c r="AC44" s="3"/>
      <c r="AD44" s="3"/>
      <c r="AE44" s="13">
        <f>AH44+AK44+AN44+AQ44+AW44+AZ44+BC44</f>
        <v>99.391377803653683</v>
      </c>
      <c r="AF44" s="13"/>
      <c r="AG44" s="13">
        <f>SQRT(AF44)</f>
        <v>0</v>
      </c>
      <c r="AH44" s="13">
        <f>IF(AG44&gt;0,AG44/AG$99*1000, 0)</f>
        <v>0</v>
      </c>
      <c r="AI44" s="13"/>
      <c r="AJ44" s="13">
        <f>SQRT(AI44)</f>
        <v>0</v>
      </c>
      <c r="AK44" s="13">
        <f>IF(AJ44&gt;0,AJ44/AJ$99*1000, 0)</f>
        <v>0</v>
      </c>
      <c r="AL44" s="13"/>
      <c r="AM44" s="13">
        <f>SQRT(AL44)</f>
        <v>0</v>
      </c>
      <c r="AN44" s="13">
        <f>IF(AM44&gt;0,AM44/AM$99*1000, 0)</f>
        <v>0</v>
      </c>
      <c r="AO44" s="13"/>
      <c r="AP44" s="13">
        <f>SQRT(AO44)</f>
        <v>0</v>
      </c>
      <c r="AQ44" s="13">
        <f>IF(AP44&gt;0,AP44/AP$99*1000, 0)</f>
        <v>0</v>
      </c>
      <c r="AR44" s="13"/>
      <c r="AS44" s="13">
        <f>SQRT(AR44)</f>
        <v>0</v>
      </c>
      <c r="AT44" s="13">
        <f>IF(AS44&gt;0,AS44/AS$99*1000, 0)</f>
        <v>0</v>
      </c>
      <c r="AU44" s="13">
        <v>0.1</v>
      </c>
      <c r="AV44" s="13">
        <f>SQRT(AU44)</f>
        <v>0.31622776601683794</v>
      </c>
      <c r="AW44" s="13">
        <f>IF(AV44&gt;0,AV44/AV$99*1000, 0)</f>
        <v>14.101355352222228</v>
      </c>
      <c r="AX44" s="13">
        <v>1.5</v>
      </c>
      <c r="AY44" s="13">
        <f>SQRT(AX44)</f>
        <v>1.2247448713915889</v>
      </c>
      <c r="AZ44" s="13">
        <f>IF(AY44&gt;0,AY44/AY$99*1000, 0)</f>
        <v>59.173366646278353</v>
      </c>
      <c r="BA44" s="27">
        <v>127</v>
      </c>
      <c r="BB44" s="13">
        <f>SQRT(BA44)</f>
        <v>11.269427669584644</v>
      </c>
      <c r="BC44" s="13">
        <f>IF(BB44&gt;0,BB44/BB$99*1000, 0)</f>
        <v>26.116655805153101</v>
      </c>
      <c r="BD44" s="24">
        <v>0.53</v>
      </c>
      <c r="BE44" s="21">
        <f>SQRT(BD44)</f>
        <v>0.72801098892805183</v>
      </c>
      <c r="BF44" s="13">
        <f>IF(BE44&gt;0, BE44/BE$99*10000, 0)</f>
        <v>187.48290849835206</v>
      </c>
      <c r="BG44" s="27">
        <v>6</v>
      </c>
      <c r="BH44" s="13">
        <f>IF(BG44&gt;0, BG44/BG$99*2000, 0)</f>
        <v>16.689847009735743</v>
      </c>
      <c r="BI44" s="30"/>
      <c r="BJ44" s="30"/>
      <c r="BK44" s="30">
        <f>BJ44+BI44</f>
        <v>0</v>
      </c>
      <c r="BL44" s="3"/>
      <c r="BM44" s="1"/>
      <c r="BN44" s="1"/>
      <c r="BO44" s="1"/>
    </row>
    <row r="45" spans="1:67" s="6" customFormat="1" ht="20.100000000000001" customHeight="1" x14ac:dyDescent="0.25">
      <c r="A45" s="1"/>
      <c r="B45" s="1">
        <v>42</v>
      </c>
      <c r="C45" s="50">
        <v>41</v>
      </c>
      <c r="D45" s="51" t="str">
        <f>IF(C45&lt;B45,"▲"&amp;B45-C45,IF(C45&gt;B45,"▼"&amp;C45-B45,"—"))</f>
        <v>▲1</v>
      </c>
      <c r="E45" s="52" t="s">
        <v>58</v>
      </c>
      <c r="F45" s="53">
        <f>G45+O45+W45+AE45+BF45+BH45+BK45</f>
        <v>566.40761578872844</v>
      </c>
      <c r="G45" s="19">
        <f>IF(COUNTIF(H45:INDEX(H45:N45,$B$1),"&gt;0")=0,0,
SUMIF(H45:INDEX(H45:N45,$B$1),"&gt;0",H45:INDEX(H45:N45,$B$1))*$B$1/COUNTIF(H45:INDEX(H45:N45,$B$1),"&gt;0")*
IF($B$1-COUNTIF(H45:INDEX(H45:N45,$B$1),"&gt;0")&lt;=2,1,
IF($B$1-COUNTIF(H45:INDEX(H45:N45,$B$1),"&gt;0")=3,0.8,
IF($B$1-COUNTIF(H45:INDEX(H45:N45,$B$1),"&gt;0")=4,0.6,
IF($B$1-COUNTIF(H45:INDEX(H45:N45,$B$1),"&gt;0")=5,0.4,
IF($B$1-COUNTIF(H45:INDEX(H45:N45,$B$1),"&gt;0")=6,0.2,0))))))</f>
        <v>350</v>
      </c>
      <c r="H45" s="3">
        <v>46</v>
      </c>
      <c r="I45" s="3">
        <v>46</v>
      </c>
      <c r="J45" s="3">
        <v>47</v>
      </c>
      <c r="K45" s="3">
        <v>57</v>
      </c>
      <c r="L45" s="3">
        <v>48</v>
      </c>
      <c r="M45" s="3">
        <v>55</v>
      </c>
      <c r="N45" s="3">
        <v>51</v>
      </c>
      <c r="O45" s="13">
        <f>0.2*IF(COUNTIF(P45:INDEX(P45:V45,$B$1),"&gt;0")=0,0,
(SUMIF(P45:INDEX(P45:V45,$B$1),"&gt;0",P45:INDEX(P45:V45,$B$1))*$B$1/COUNTIF(P45:INDEX(P45:V45,$B$1),"&gt;0"))*
IF($B$1-COUNTIF(P45:INDEX(P45:V45,$B$1),"&gt;0")&lt;=2,1,
IF($B$1-COUNTIF(P45:INDEX(P45:V45,$B$1),"&gt;0")=3,0.8,
IF($B$1-COUNTIF(P45:INDEX(P45:V45,$B$1),"&gt;0")=4,0.6,
IF($B$1-COUNTIF(P45:INDEX(P45:V45,$B$1),"&gt;0")=5,0.4,
IF($B$1-COUNTIF(P45:INDEX(P45:V45,$B$1),"&gt;0")=6,0.2,0))))))</f>
        <v>59.2</v>
      </c>
      <c r="P45" s="3">
        <v>48</v>
      </c>
      <c r="Q45" s="3">
        <v>36</v>
      </c>
      <c r="R45" s="3">
        <v>41</v>
      </c>
      <c r="S45" s="3">
        <v>45</v>
      </c>
      <c r="T45" s="3">
        <v>44</v>
      </c>
      <c r="U45" s="3">
        <v>37</v>
      </c>
      <c r="V45" s="3">
        <v>45</v>
      </c>
      <c r="W45" s="3">
        <f>MIN(100,
IF($B$1&gt;=1,IFERROR(VALUE(SUBSTITUTE(SUBSTITUTE(TRIM(X45),"A",""),"B","")),0),0)+
IF($B$1&gt;=2,IFERROR(VALUE(SUBSTITUTE(SUBSTITUTE(TRIM(Y45),"A",""),"B","")),0),0)+
IF($B$1&gt;=3,IFERROR(VALUE(SUBSTITUTE(SUBSTITUTE(TRIM(Z45),"A",""),"B","")),0),0)+
IF($B$1&gt;=4,IFERROR(VALUE(SUBSTITUTE(SUBSTITUTE(TRIM(AA45),"A",""),"B","")),0),0)+
IF($B$1&gt;=5,IFERROR(VALUE(SUBSTITUTE(SUBSTITUTE(TRIM(AB45),"A",""),"B","")),0),0)+
IF($B$1&gt;=6,IFERROR(VALUE(SUBSTITUTE(SUBSTITUTE(TRIM(AC45),"A",""),"B","")),0),0)+
IF($B$1&gt;=7,IFERROR(VALUE(SUBSTITUTE(SUBSTITUTE(TRIM(AD45),"A",""),"B","")),0),0)
)</f>
        <v>20</v>
      </c>
      <c r="X45" s="3"/>
      <c r="Y45" s="3"/>
      <c r="Z45" s="3"/>
      <c r="AA45" s="3"/>
      <c r="AB45" s="3"/>
      <c r="AC45" s="3" t="s">
        <v>156</v>
      </c>
      <c r="AD45" s="3"/>
      <c r="AE45" s="13">
        <f>AH45+AK45+AN45+AQ45+AT45+AW45+AZ45+BC45</f>
        <v>32.132929979613287</v>
      </c>
      <c r="AF45" s="13"/>
      <c r="AG45" s="13">
        <f>SQRT(AF45)</f>
        <v>0</v>
      </c>
      <c r="AH45" s="13">
        <f>IF(AG45&gt;0,AG45/AG$99*1000, 0)</f>
        <v>0</v>
      </c>
      <c r="AI45" s="13">
        <v>0.8</v>
      </c>
      <c r="AJ45" s="13">
        <f>SQRT(AI45)</f>
        <v>0.89442719099991586</v>
      </c>
      <c r="AK45" s="13">
        <f>IF(AJ45&gt;0,AJ45/AJ$99*1000, 0)</f>
        <v>26.456290279162634</v>
      </c>
      <c r="AL45" s="13"/>
      <c r="AM45" s="13">
        <f>SQRT(AL45)</f>
        <v>0</v>
      </c>
      <c r="AN45" s="13">
        <f>IF(AM45&gt;0,AM45/AM$99*1000, 0)</f>
        <v>0</v>
      </c>
      <c r="AO45" s="13"/>
      <c r="AP45" s="13">
        <f>SQRT(AO45)</f>
        <v>0</v>
      </c>
      <c r="AQ45" s="13">
        <f>IF(AP45&gt;0,AP45/AP$99*1000, 0)</f>
        <v>0</v>
      </c>
      <c r="AR45" s="13"/>
      <c r="AS45" s="13">
        <f>SQRT(AR45)</f>
        <v>0</v>
      </c>
      <c r="AT45" s="13">
        <f>IF(AS45&gt;0,AS45/AS$99*1000, 0)</f>
        <v>0</v>
      </c>
      <c r="AU45" s="13"/>
      <c r="AV45" s="13">
        <f>SQRT(AU45)</f>
        <v>0</v>
      </c>
      <c r="AW45" s="13">
        <f>IF(AV45&gt;0,AV45/AV$99*1000, 0)</f>
        <v>0</v>
      </c>
      <c r="AX45" s="13"/>
      <c r="AY45" s="13">
        <f>SQRT(AX45)</f>
        <v>0</v>
      </c>
      <c r="AZ45" s="13">
        <f>IF(AY45&gt;0,AY45/AY$99*1000, 0)</f>
        <v>0</v>
      </c>
      <c r="BA45" s="27">
        <v>6</v>
      </c>
      <c r="BB45" s="13">
        <f>SQRT(BA45)</f>
        <v>2.4494897427831779</v>
      </c>
      <c r="BC45" s="13">
        <f>IF(BB45&gt;0,BB45/BB$99*1000, 0)</f>
        <v>5.6766397004506519</v>
      </c>
      <c r="BD45" s="24">
        <v>0.09</v>
      </c>
      <c r="BE45" s="21">
        <f>SQRT(BD45)</f>
        <v>0.3</v>
      </c>
      <c r="BF45" s="13">
        <f>IF(BE45&gt;0, BE45/BE$99*10000, 0)</f>
        <v>77.258274126222304</v>
      </c>
      <c r="BG45" s="27">
        <v>10</v>
      </c>
      <c r="BH45" s="13">
        <f>IF(BG45&gt;0, BG45/BG$99*2000, 0)</f>
        <v>27.816411682892909</v>
      </c>
      <c r="BI45" s="30">
        <v>0</v>
      </c>
      <c r="BJ45" s="30">
        <v>0</v>
      </c>
      <c r="BK45" s="30">
        <f>BJ45+BI45</f>
        <v>0</v>
      </c>
      <c r="BL45" s="3"/>
      <c r="BM45" s="1"/>
      <c r="BN45" s="1"/>
      <c r="BO45" s="1"/>
    </row>
    <row r="46" spans="1:67" s="6" customFormat="1" ht="20.100000000000001" customHeight="1" x14ac:dyDescent="0.25">
      <c r="A46" s="1"/>
      <c r="B46" s="1">
        <v>40</v>
      </c>
      <c r="C46" s="50">
        <v>42</v>
      </c>
      <c r="D46" s="51" t="str">
        <f>IF(C46&lt;B46,"▲"&amp;B46-C46,IF(C46&gt;B46,"▼"&amp;C46-B46,"—"))</f>
        <v>▼2</v>
      </c>
      <c r="E46" s="52" t="s">
        <v>55</v>
      </c>
      <c r="F46" s="53">
        <f>G46+O46+W46+AE46+BF46+BH46+BK46</f>
        <v>560.17137329588309</v>
      </c>
      <c r="G46" s="19">
        <f>IF(COUNTIF(H46:INDEX(H46:N46,$B$1),"&gt;0")=0,0,
SUMIF(H46:INDEX(H46:N46,$B$1),"&gt;0",H46:INDEX(H46:N46,$B$1))*$B$1/COUNTIF(H46:INDEX(H46:N46,$B$1),"&gt;0")*
IF($B$1-COUNTIF(H46:INDEX(H46:N46,$B$1),"&gt;0")&lt;=2,1,
IF($B$1-COUNTIF(H46:INDEX(H46:N46,$B$1),"&gt;0")=3,0.8,
IF($B$1-COUNTIF(H46:INDEX(H46:N46,$B$1),"&gt;0")=4,0.6,
IF($B$1-COUNTIF(H46:INDEX(H46:N46,$B$1),"&gt;0")=5,0.4,
IF($B$1-COUNTIF(H46:INDEX(H46:N46,$B$1),"&gt;0")=6,0.2,0))))))</f>
        <v>323</v>
      </c>
      <c r="H46" s="3">
        <v>50</v>
      </c>
      <c r="I46" s="3">
        <v>53</v>
      </c>
      <c r="J46" s="3">
        <v>52</v>
      </c>
      <c r="K46" s="3">
        <v>44</v>
      </c>
      <c r="L46" s="3">
        <v>43</v>
      </c>
      <c r="M46" s="3">
        <v>39</v>
      </c>
      <c r="N46" s="3">
        <v>42</v>
      </c>
      <c r="O46" s="13">
        <f>0.2*IF(COUNTIF(P46:INDEX(P46:V46,$B$1),"&gt;0")=0,0,
(SUMIF(P46:INDEX(P46:V46,$B$1),"&gt;0",P46:INDEX(P46:V46,$B$1))*$B$1/COUNTIF(P46:INDEX(P46:V46,$B$1),"&gt;0"))*
IF($B$1-COUNTIF(P46:INDEX(P46:V46,$B$1),"&gt;0")&lt;=2,1,
IF($B$1-COUNTIF(P46:INDEX(P46:V46,$B$1),"&gt;0")=3,0.8,
IF($B$1-COUNTIF(P46:INDEX(P46:V46,$B$1),"&gt;0")=4,0.6,
IF($B$1-COUNTIF(P46:INDEX(P46:V46,$B$1),"&gt;0")=5,0.4,
IF($B$1-COUNTIF(P46:INDEX(P46:V46,$B$1),"&gt;0")=6,0.2,0))))))</f>
        <v>63.800000000000004</v>
      </c>
      <c r="P46" s="3">
        <v>47</v>
      </c>
      <c r="Q46" s="3">
        <v>39</v>
      </c>
      <c r="R46" s="3">
        <v>45</v>
      </c>
      <c r="S46" s="3">
        <v>49</v>
      </c>
      <c r="T46" s="3">
        <v>48</v>
      </c>
      <c r="U46" s="3">
        <v>46</v>
      </c>
      <c r="V46" s="3">
        <v>45</v>
      </c>
      <c r="W46" s="3">
        <f>MIN(100,
IF($B$1&gt;=1,IFERROR(VALUE(SUBSTITUTE(SUBSTITUTE(TRIM(X46),"A",""),"B","")),0),0)+
IF($B$1&gt;=2,IFERROR(VALUE(SUBSTITUTE(SUBSTITUTE(TRIM(Y46),"A",""),"B","")),0),0)+
IF($B$1&gt;=3,IFERROR(VALUE(SUBSTITUTE(SUBSTITUTE(TRIM(Z46),"A",""),"B","")),0),0)+
IF($B$1&gt;=4,IFERROR(VALUE(SUBSTITUTE(SUBSTITUTE(TRIM(AA46),"A",""),"B","")),0),0)+
IF($B$1&gt;=5,IFERROR(VALUE(SUBSTITUTE(SUBSTITUTE(TRIM(AB46),"A",""),"B","")),0),0)+
IF($B$1&gt;=6,IFERROR(VALUE(SUBSTITUTE(SUBSTITUTE(TRIM(AC46),"A",""),"B","")),0),0)+
IF($B$1&gt;=7,IFERROR(VALUE(SUBSTITUTE(SUBSTITUTE(TRIM(AD46),"A",""),"B","")),0),0)
)</f>
        <v>20</v>
      </c>
      <c r="X46" s="3"/>
      <c r="Y46" s="3"/>
      <c r="Z46" s="3"/>
      <c r="AA46" s="3"/>
      <c r="AB46" s="3"/>
      <c r="AC46" s="3" t="s">
        <v>156</v>
      </c>
      <c r="AD46" s="3"/>
      <c r="AE46" s="13">
        <f>AH46+AK46+AN46+AQ46+AT46+AW46+AZ46+BC46</f>
        <v>9.3537111307178193</v>
      </c>
      <c r="AF46" s="13"/>
      <c r="AG46" s="13">
        <f>SQRT(AF46)</f>
        <v>0</v>
      </c>
      <c r="AH46" s="13">
        <f>IF(AG46&gt;0,AG46/AG$99*1000, 0)</f>
        <v>0</v>
      </c>
      <c r="AI46" s="13">
        <v>0.1</v>
      </c>
      <c r="AJ46" s="13">
        <f>SQRT(AI46)</f>
        <v>0.31622776601683794</v>
      </c>
      <c r="AK46" s="13">
        <f>IF(AJ46&gt;0,AJ46/AJ$99*1000, 0)</f>
        <v>9.3537111307178193</v>
      </c>
      <c r="AL46" s="13"/>
      <c r="AM46" s="13">
        <f>SQRT(AL46)</f>
        <v>0</v>
      </c>
      <c r="AN46" s="13">
        <f>IF(AM46&gt;0,AM46/AM$99*1000, 0)</f>
        <v>0</v>
      </c>
      <c r="AO46" s="13"/>
      <c r="AP46" s="13">
        <f>SQRT(AO46)</f>
        <v>0</v>
      </c>
      <c r="AQ46" s="13">
        <f>IF(AP46&gt;0,AP46/AP$99*1000, 0)</f>
        <v>0</v>
      </c>
      <c r="AR46" s="13"/>
      <c r="AS46" s="13">
        <f>SQRT(AR46)</f>
        <v>0</v>
      </c>
      <c r="AT46" s="13">
        <f>IF(AS46&gt;0,AS46/AS$99*1000, 0)</f>
        <v>0</v>
      </c>
      <c r="AU46" s="13"/>
      <c r="AV46" s="13">
        <f>SQRT(AU46)</f>
        <v>0</v>
      </c>
      <c r="AW46" s="13">
        <f>IF(AV46&gt;0,AV46/AV$99*1000, 0)</f>
        <v>0</v>
      </c>
      <c r="AX46" s="13"/>
      <c r="AY46" s="13">
        <f>SQRT(AX46)</f>
        <v>0</v>
      </c>
      <c r="AZ46" s="13">
        <f>IF(AY46&gt;0,AY46/AY$99*1000, 0)</f>
        <v>0</v>
      </c>
      <c r="BA46" s="27"/>
      <c r="BB46" s="13">
        <f>SQRT(BA46)</f>
        <v>0</v>
      </c>
      <c r="BC46" s="13">
        <f>IF(BB46&gt;0,BB46/BB$99*1000, 0)</f>
        <v>0</v>
      </c>
      <c r="BD46" s="24">
        <v>0.09</v>
      </c>
      <c r="BE46" s="21">
        <f>SQRT(BD46)</f>
        <v>0.3</v>
      </c>
      <c r="BF46" s="13">
        <f>IF(BE46&gt;0, BE46/BE$99*10000, 0)</f>
        <v>77.258274126222304</v>
      </c>
      <c r="BG46" s="27">
        <v>24</v>
      </c>
      <c r="BH46" s="13">
        <f>IF(BG46&gt;0, BG46/BG$99*2000, 0)</f>
        <v>66.759388038942973</v>
      </c>
      <c r="BI46" s="30">
        <v>0</v>
      </c>
      <c r="BJ46" s="30">
        <v>0</v>
      </c>
      <c r="BK46" s="30">
        <f>BJ46+BI46</f>
        <v>0</v>
      </c>
      <c r="BL46" s="3"/>
      <c r="BM46" s="1"/>
      <c r="BN46" s="1"/>
      <c r="BO46" s="1"/>
    </row>
    <row r="47" spans="1:67" s="6" customFormat="1" ht="20.100000000000001" customHeight="1" x14ac:dyDescent="0.25">
      <c r="A47" s="1"/>
      <c r="B47" s="1">
        <v>39</v>
      </c>
      <c r="C47" s="50">
        <v>43</v>
      </c>
      <c r="D47" s="51" t="str">
        <f>IF(C47&lt;B47,"▲"&amp;B47-C47,IF(C47&gt;B47,"▼"&amp;C47-B47,"—"))</f>
        <v>▼4</v>
      </c>
      <c r="E47" s="52" t="s">
        <v>56</v>
      </c>
      <c r="F47" s="53">
        <f>G47+O47+W47+AE47+BF47+BH47+BK47</f>
        <v>555.56316420903738</v>
      </c>
      <c r="G47" s="19">
        <f>IF(COUNTIF(H47:INDEX(H47:N47,$B$1),"&gt;0")=0,0,
SUMIF(H47:INDEX(H47:N47,$B$1),"&gt;0",H47:INDEX(H47:N47,$B$1))*$B$1/COUNTIF(H47:INDEX(H47:N47,$B$1),"&gt;0")*
IF($B$1-COUNTIF(H47:INDEX(H47:N47,$B$1),"&gt;0")&lt;=2,1,
IF($B$1-COUNTIF(H47:INDEX(H47:N47,$B$1),"&gt;0")=3,0.8,
IF($B$1-COUNTIF(H47:INDEX(H47:N47,$B$1),"&gt;0")=4,0.6,
IF($B$1-COUNTIF(H47:INDEX(H47:N47,$B$1),"&gt;0")=5,0.4,
IF($B$1-COUNTIF(H47:INDEX(H47:N47,$B$1),"&gt;0")=6,0.2,0))))))</f>
        <v>308</v>
      </c>
      <c r="H47" s="3">
        <v>47</v>
      </c>
      <c r="I47" s="3">
        <v>50</v>
      </c>
      <c r="J47" s="3">
        <v>50</v>
      </c>
      <c r="K47" s="3">
        <v>43</v>
      </c>
      <c r="L47" s="3">
        <v>43</v>
      </c>
      <c r="M47" s="3">
        <v>38</v>
      </c>
      <c r="N47" s="3">
        <v>37</v>
      </c>
      <c r="O47" s="13">
        <f>0.2*IF(COUNTIF(P47:INDEX(P47:V47,$B$1),"&gt;0")=0,0,
(SUMIF(P47:INDEX(P47:V47,$B$1),"&gt;0",P47:INDEX(P47:V47,$B$1))*$B$1/COUNTIF(P47:INDEX(P47:V47,$B$1),"&gt;0"))*
IF($B$1-COUNTIF(P47:INDEX(P47:V47,$B$1),"&gt;0")&lt;=2,1,
IF($B$1-COUNTIF(P47:INDEX(P47:V47,$B$1),"&gt;0")=3,0.8,
IF($B$1-COUNTIF(P47:INDEX(P47:V47,$B$1),"&gt;0")=4,0.6,
IF($B$1-COUNTIF(P47:INDEX(P47:V47,$B$1),"&gt;0")=5,0.4,
IF($B$1-COUNTIF(P47:INDEX(P47:V47,$B$1),"&gt;0")=6,0.2,0))))))</f>
        <v>61</v>
      </c>
      <c r="P47" s="3">
        <v>46</v>
      </c>
      <c r="Q47" s="3">
        <v>35</v>
      </c>
      <c r="R47" s="3">
        <v>43</v>
      </c>
      <c r="S47" s="3">
        <v>44</v>
      </c>
      <c r="T47" s="3">
        <v>44</v>
      </c>
      <c r="U47" s="3">
        <v>48</v>
      </c>
      <c r="V47" s="3">
        <v>45</v>
      </c>
      <c r="W47" s="3">
        <f>MIN(100,
IF($B$1&gt;=1,IFERROR(VALUE(SUBSTITUTE(SUBSTITUTE(TRIM(X47),"A",""),"B","")),0),0)+
IF($B$1&gt;=2,IFERROR(VALUE(SUBSTITUTE(SUBSTITUTE(TRIM(Y47),"A",""),"B","")),0),0)+
IF($B$1&gt;=3,IFERROR(VALUE(SUBSTITUTE(SUBSTITUTE(TRIM(Z47),"A",""),"B","")),0),0)+
IF($B$1&gt;=4,IFERROR(VALUE(SUBSTITUTE(SUBSTITUTE(TRIM(AA47),"A",""),"B","")),0),0)+
IF($B$1&gt;=5,IFERROR(VALUE(SUBSTITUTE(SUBSTITUTE(TRIM(AB47),"A",""),"B","")),0),0)+
IF($B$1&gt;=6,IFERROR(VALUE(SUBSTITUTE(SUBSTITUTE(TRIM(AC47),"A",""),"B","")),0),0)+
IF($B$1&gt;=7,IFERROR(VALUE(SUBSTITUTE(SUBSTITUTE(TRIM(AD47),"A",""),"B","")),0),0)
)</f>
        <v>20</v>
      </c>
      <c r="X47" s="3"/>
      <c r="Y47" s="3"/>
      <c r="Z47" s="3"/>
      <c r="AA47" s="3"/>
      <c r="AB47" s="3"/>
      <c r="AC47" s="3" t="s">
        <v>156</v>
      </c>
      <c r="AD47" s="3"/>
      <c r="AE47" s="13">
        <f>AH47+AK47+AN47+AQ47+AT47+AW47+AZ47+BC47</f>
        <v>25.327143212161378</v>
      </c>
      <c r="AF47" s="13"/>
      <c r="AG47" s="13">
        <f>SQRT(AF47)</f>
        <v>0</v>
      </c>
      <c r="AH47" s="13">
        <f>IF(AG47&gt;0,AG47/AG$99*1000, 0)</f>
        <v>0</v>
      </c>
      <c r="AI47" s="13"/>
      <c r="AJ47" s="13">
        <f>SQRT(AI47)</f>
        <v>0</v>
      </c>
      <c r="AK47" s="13">
        <f>IF(AJ47&gt;0,AJ47/AJ$99*1000, 0)</f>
        <v>0</v>
      </c>
      <c r="AL47" s="13"/>
      <c r="AM47" s="13">
        <f>SQRT(AL47)</f>
        <v>0</v>
      </c>
      <c r="AN47" s="13">
        <f>IF(AM47&gt;0,AM47/AM$99*1000, 0)</f>
        <v>0</v>
      </c>
      <c r="AO47" s="13"/>
      <c r="AP47" s="13">
        <f>SQRT(AO47)</f>
        <v>0</v>
      </c>
      <c r="AQ47" s="13">
        <f>IF(AP47&gt;0,AP47/AP$99*1000, 0)</f>
        <v>0</v>
      </c>
      <c r="AR47" s="13">
        <v>0.2</v>
      </c>
      <c r="AS47" s="13">
        <f>SQRT(AR47)</f>
        <v>0.44721359549995793</v>
      </c>
      <c r="AT47" s="13">
        <f>IF(AS47&gt;0,AS47/AS$99*1000, 0)</f>
        <v>25.327143212161378</v>
      </c>
      <c r="AU47" s="13"/>
      <c r="AV47" s="13">
        <f>SQRT(AU47)</f>
        <v>0</v>
      </c>
      <c r="AW47" s="13">
        <f>IF(AV47&gt;0,AV47/AV$99*1000, 0)</f>
        <v>0</v>
      </c>
      <c r="AX47" s="13"/>
      <c r="AY47" s="13">
        <f>SQRT(AX47)</f>
        <v>0</v>
      </c>
      <c r="AZ47" s="13">
        <f>IF(AY47&gt;0,AY47/AY$99*1000, 0)</f>
        <v>0</v>
      </c>
      <c r="BA47" s="27"/>
      <c r="BB47" s="13">
        <f>SQRT(BA47)</f>
        <v>0</v>
      </c>
      <c r="BC47" s="13">
        <f>IF(BB47&gt;0,BB47/BB$99*1000, 0)</f>
        <v>0</v>
      </c>
      <c r="BD47" s="24">
        <v>0.09</v>
      </c>
      <c r="BE47" s="21">
        <f>SQRT(BD47)</f>
        <v>0.3</v>
      </c>
      <c r="BF47" s="13">
        <f>IF(BE47&gt;0, BE47/BE$99*10000, 0)</f>
        <v>77.258274126222304</v>
      </c>
      <c r="BG47" s="27">
        <v>23</v>
      </c>
      <c r="BH47" s="13">
        <f>IF(BG47&gt;0, BG47/BG$99*2000, 0)</f>
        <v>63.977746870653689</v>
      </c>
      <c r="BI47" s="30">
        <v>0</v>
      </c>
      <c r="BJ47" s="30">
        <v>0</v>
      </c>
      <c r="BK47" s="30">
        <f>BJ47+BI47</f>
        <v>0</v>
      </c>
      <c r="BL47" s="3"/>
      <c r="BM47" s="1"/>
      <c r="BN47" s="1"/>
      <c r="BO47" s="1"/>
    </row>
    <row r="48" spans="1:67" s="6" customFormat="1" ht="20.100000000000001" customHeight="1" x14ac:dyDescent="0.25">
      <c r="A48" s="1"/>
      <c r="B48" s="1">
        <v>46</v>
      </c>
      <c r="C48" s="50">
        <v>44</v>
      </c>
      <c r="D48" s="51" t="str">
        <f>IF(C48&lt;B48,"▲"&amp;B48-C48,IF(C48&gt;B48,"▼"&amp;C48-B48,"—"))</f>
        <v>▲2</v>
      </c>
      <c r="E48" s="52" t="s">
        <v>69</v>
      </c>
      <c r="F48" s="53">
        <f>G48+O48+W48+AE48+BF48+BH48+BK48</f>
        <v>525.94708350021563</v>
      </c>
      <c r="G48" s="19">
        <f>IF(COUNTIF(H48:INDEX(H48:N48,$B$1),"&gt;0")=0,0,
SUMIF(H48:INDEX(H48:N48,$B$1),"&gt;0",H48:INDEX(H48:N48,$B$1))*$B$1/COUNTIF(H48:INDEX(H48:N48,$B$1),"&gt;0")*
IF($B$1-COUNTIF(H48:INDEX(H48:N48,$B$1),"&gt;0")&lt;=2,1,
IF($B$1-COUNTIF(H48:INDEX(H48:N48,$B$1),"&gt;0")=3,0.8,
IF($B$1-COUNTIF(H48:INDEX(H48:N48,$B$1),"&gt;0")=4,0.6,
IF($B$1-COUNTIF(H48:INDEX(H48:N48,$B$1),"&gt;0")=5,0.4,
IF($B$1-COUNTIF(H48:INDEX(H48:N48,$B$1),"&gt;0")=6,0.2,0))))))</f>
        <v>259</v>
      </c>
      <c r="H48" s="3">
        <v>27</v>
      </c>
      <c r="I48" s="3">
        <v>36</v>
      </c>
      <c r="J48" s="3">
        <v>44</v>
      </c>
      <c r="K48" s="3">
        <v>37</v>
      </c>
      <c r="L48" s="3">
        <v>33</v>
      </c>
      <c r="M48" s="3">
        <v>28</v>
      </c>
      <c r="N48" s="3">
        <v>54</v>
      </c>
      <c r="O48" s="13">
        <f>0.2*IF(COUNTIF(P48:INDEX(P48:V48,$B$1),"&gt;0")=0,0,
(SUMIF(P48:INDEX(P48:V48,$B$1),"&gt;0",P48:INDEX(P48:V48,$B$1))*$B$1/COUNTIF(P48:INDEX(P48:V48,$B$1),"&gt;0"))*
IF($B$1-COUNTIF(P48:INDEX(P48:V48,$B$1),"&gt;0")&lt;=2,1,
IF($B$1-COUNTIF(P48:INDEX(P48:V48,$B$1),"&gt;0")=3,0.8,
IF($B$1-COUNTIF(P48:INDEX(P48:V48,$B$1),"&gt;0")=4,0.6,
IF($B$1-COUNTIF(P48:INDEX(P48:V48,$B$1),"&gt;0")=5,0.4,
IF($B$1-COUNTIF(P48:INDEX(P48:V48,$B$1),"&gt;0")=6,0.2,0))))))</f>
        <v>60.400000000000006</v>
      </c>
      <c r="P48" s="3">
        <v>42</v>
      </c>
      <c r="Q48" s="3">
        <v>38</v>
      </c>
      <c r="R48" s="3">
        <v>50</v>
      </c>
      <c r="S48" s="3">
        <v>47</v>
      </c>
      <c r="T48" s="3">
        <v>38</v>
      </c>
      <c r="U48" s="3">
        <v>43</v>
      </c>
      <c r="V48" s="3">
        <v>44</v>
      </c>
      <c r="W48" s="3">
        <f>MIN(100,
IF($B$1&gt;=1,IFERROR(VALUE(SUBSTITUTE(SUBSTITUTE(TRIM(X48),"A",""),"B","")),0),0)+
IF($B$1&gt;=2,IFERROR(VALUE(SUBSTITUTE(SUBSTITUTE(TRIM(Y48),"A",""),"B","")),0),0)+
IF($B$1&gt;=3,IFERROR(VALUE(SUBSTITUTE(SUBSTITUTE(TRIM(Z48),"A",""),"B","")),0),0)+
IF($B$1&gt;=4,IFERROR(VALUE(SUBSTITUTE(SUBSTITUTE(TRIM(AA48),"A",""),"B","")),0),0)+
IF($B$1&gt;=5,IFERROR(VALUE(SUBSTITUTE(SUBSTITUTE(TRIM(AB48),"A",""),"B","")),0),0)+
IF($B$1&gt;=6,IFERROR(VALUE(SUBSTITUTE(SUBSTITUTE(TRIM(AC48),"A",""),"B","")),0),0)+
IF($B$1&gt;=7,IFERROR(VALUE(SUBSTITUTE(SUBSTITUTE(TRIM(AD48),"A",""),"B","")),0),0)
)</f>
        <v>20</v>
      </c>
      <c r="X48" s="3"/>
      <c r="Y48" s="3"/>
      <c r="Z48" s="3"/>
      <c r="AA48" s="3"/>
      <c r="AB48" s="3"/>
      <c r="AC48" s="3" t="s">
        <v>156</v>
      </c>
      <c r="AD48" s="3"/>
      <c r="AE48" s="13">
        <f>AH48+AK48+AN48+AQ48+AT48+AW48+AZ48+BC48</f>
        <v>63.67589493203365</v>
      </c>
      <c r="AF48" s="13"/>
      <c r="AG48" s="13">
        <f>SQRT(AF48)</f>
        <v>0</v>
      </c>
      <c r="AH48" s="13">
        <f>IF(AG48&gt;0,AG48/AG$99*1000, 0)</f>
        <v>0</v>
      </c>
      <c r="AI48" s="13"/>
      <c r="AJ48" s="13">
        <f>SQRT(AI48)</f>
        <v>0</v>
      </c>
      <c r="AK48" s="13">
        <f>IF(AJ48&gt;0,AJ48/AJ$99*1000, 0)</f>
        <v>0</v>
      </c>
      <c r="AL48" s="13"/>
      <c r="AM48" s="13">
        <f>SQRT(AL48)</f>
        <v>0</v>
      </c>
      <c r="AN48" s="13">
        <f>IF(AM48&gt;0,AM48/AM$99*1000, 0)</f>
        <v>0</v>
      </c>
      <c r="AO48" s="13"/>
      <c r="AP48" s="13">
        <f>SQRT(AO48)</f>
        <v>0</v>
      </c>
      <c r="AQ48" s="13">
        <f>IF(AP48&gt;0,AP48/AP$99*1000, 0)</f>
        <v>0</v>
      </c>
      <c r="AR48" s="13">
        <v>0.1</v>
      </c>
      <c r="AS48" s="13">
        <f>SQRT(AR48)</f>
        <v>0.31622776601683794</v>
      </c>
      <c r="AT48" s="13">
        <f>IF(AS48&gt;0,AS48/AS$99*1000, 0)</f>
        <v>17.908994713402151</v>
      </c>
      <c r="AU48" s="13">
        <v>0.1</v>
      </c>
      <c r="AV48" s="13">
        <f>SQRT(AU48)</f>
        <v>0.31622776601683794</v>
      </c>
      <c r="AW48" s="13">
        <f>IF(AV48&gt;0,AV48/AV$99*1000, 0)</f>
        <v>14.101355352222228</v>
      </c>
      <c r="AX48" s="13">
        <v>0.1</v>
      </c>
      <c r="AY48" s="13">
        <f>SQRT(AX48)</f>
        <v>0.31622776601683794</v>
      </c>
      <c r="AZ48" s="13">
        <f>IF(AY48&gt;0,AY48/AY$99*1000, 0)</f>
        <v>15.278497570670767</v>
      </c>
      <c r="BA48" s="27">
        <v>50</v>
      </c>
      <c r="BB48" s="13">
        <f>SQRT(BA48)</f>
        <v>7.0710678118654755</v>
      </c>
      <c r="BC48" s="13">
        <f>IF(BB48&gt;0,BB48/BB$99*1000, 0)</f>
        <v>16.387047295738505</v>
      </c>
      <c r="BD48" s="24">
        <v>0.17</v>
      </c>
      <c r="BE48" s="21">
        <f>SQRT(BD48)</f>
        <v>0.41231056256176607</v>
      </c>
      <c r="BF48" s="13">
        <f>IF(BE48&gt;0, BE48/BE$99*10000, 0)</f>
        <v>106.18134155844618</v>
      </c>
      <c r="BG48" s="27">
        <v>6</v>
      </c>
      <c r="BH48" s="13">
        <f>IF(BG48&gt;0, BG48/BG$99*2000, 0)</f>
        <v>16.689847009735743</v>
      </c>
      <c r="BI48" s="30">
        <v>0</v>
      </c>
      <c r="BJ48" s="30">
        <v>0</v>
      </c>
      <c r="BK48" s="30">
        <f>BJ48+BI48</f>
        <v>0</v>
      </c>
      <c r="BL48" s="3"/>
      <c r="BM48" s="1"/>
      <c r="BN48" s="1"/>
      <c r="BO48" s="1"/>
    </row>
    <row r="49" spans="1:67" s="6" customFormat="1" ht="20.100000000000001" customHeight="1" x14ac:dyDescent="0.25">
      <c r="A49" s="1"/>
      <c r="B49" s="1">
        <v>48</v>
      </c>
      <c r="C49" s="50">
        <v>45</v>
      </c>
      <c r="D49" s="51" t="str">
        <f>IF(C49&lt;B49,"▲"&amp;B49-C49,IF(C49&gt;B49,"▼"&amp;C49-B49,"—"))</f>
        <v>▲3</v>
      </c>
      <c r="E49" s="52" t="s">
        <v>68</v>
      </c>
      <c r="F49" s="53">
        <f>G49+O49+W49+AE49+BF49+BH49+BK49</f>
        <v>516.7560588081094</v>
      </c>
      <c r="G49" s="19">
        <f>IF(COUNTIF(H49:INDEX(H49:N49,$B$1),"&gt;0")=0,0,
SUMIF(H49:INDEX(H49:N49,$B$1),"&gt;0",H49:INDEX(H49:N49,$B$1))*$B$1/COUNTIF(H49:INDEX(H49:N49,$B$1),"&gt;0")*
IF($B$1-COUNTIF(H49:INDEX(H49:N49,$B$1),"&gt;0")&lt;=2,1,
IF($B$1-COUNTIF(H49:INDEX(H49:N49,$B$1),"&gt;0")=3,0.8,
IF($B$1-COUNTIF(H49:INDEX(H49:N49,$B$1),"&gt;0")=4,0.6,
IF($B$1-COUNTIF(H49:INDEX(H49:N49,$B$1),"&gt;0")=5,0.4,
IF($B$1-COUNTIF(H49:INDEX(H49:N49,$B$1),"&gt;0")=6,0.2,0))))))</f>
        <v>179</v>
      </c>
      <c r="H49" s="3">
        <v>25</v>
      </c>
      <c r="I49" s="3">
        <v>22</v>
      </c>
      <c r="J49" s="3">
        <v>26</v>
      </c>
      <c r="K49" s="3">
        <v>25</v>
      </c>
      <c r="L49" s="3">
        <v>30</v>
      </c>
      <c r="M49" s="3">
        <v>24</v>
      </c>
      <c r="N49" s="3">
        <v>27</v>
      </c>
      <c r="O49" s="13">
        <f>0.2*IF(COUNTIF(P49:INDEX(P49:V49,$B$1),"&gt;0")=0,0,
(SUMIF(P49:INDEX(P49:V49,$B$1),"&gt;0",P49:INDEX(P49:V49,$B$1))*$B$1/COUNTIF(P49:INDEX(P49:V49,$B$1),"&gt;0"))*
IF($B$1-COUNTIF(P49:INDEX(P49:V49,$B$1),"&gt;0")&lt;=2,1,
IF($B$1-COUNTIF(P49:INDEX(P49:V49,$B$1),"&gt;0")=3,0.8,
IF($B$1-COUNTIF(P49:INDEX(P49:V49,$B$1),"&gt;0")=4,0.6,
IF($B$1-COUNTIF(P49:INDEX(P49:V49,$B$1),"&gt;0")=5,0.4,
IF($B$1-COUNTIF(P49:INDEX(P49:V49,$B$1),"&gt;0")=6,0.2,0))))))</f>
        <v>65</v>
      </c>
      <c r="P49" s="3">
        <v>49</v>
      </c>
      <c r="Q49" s="3">
        <v>38</v>
      </c>
      <c r="R49" s="3">
        <v>47</v>
      </c>
      <c r="S49" s="3">
        <v>46</v>
      </c>
      <c r="T49" s="3">
        <v>48</v>
      </c>
      <c r="U49" s="3">
        <v>49</v>
      </c>
      <c r="V49" s="3">
        <v>48</v>
      </c>
      <c r="W49" s="3">
        <f>MIN(100,
IF($B$1&gt;=1,IFERROR(VALUE(SUBSTITUTE(SUBSTITUTE(TRIM(X49),"A",""),"B","")),0),0)+
IF($B$1&gt;=2,IFERROR(VALUE(SUBSTITUTE(SUBSTITUTE(TRIM(Y49),"A",""),"B","")),0),0)+
IF($B$1&gt;=3,IFERROR(VALUE(SUBSTITUTE(SUBSTITUTE(TRIM(Z49),"A",""),"B","")),0),0)+
IF($B$1&gt;=4,IFERROR(VALUE(SUBSTITUTE(SUBSTITUTE(TRIM(AA49),"A",""),"B","")),0),0)+
IF($B$1&gt;=5,IFERROR(VALUE(SUBSTITUTE(SUBSTITUTE(TRIM(AB49),"A",""),"B","")),0),0)+
IF($B$1&gt;=6,IFERROR(VALUE(SUBSTITUTE(SUBSTITUTE(TRIM(AC49),"A",""),"B","")),0),0)+
IF($B$1&gt;=7,IFERROR(VALUE(SUBSTITUTE(SUBSTITUTE(TRIM(AD49),"A",""),"B","")),0),0)
)</f>
        <v>90</v>
      </c>
      <c r="X49" s="3" t="s">
        <v>31</v>
      </c>
      <c r="Y49" s="3" t="s">
        <v>16</v>
      </c>
      <c r="Z49" s="3" t="s">
        <v>31</v>
      </c>
      <c r="AA49" s="3" t="s">
        <v>121</v>
      </c>
      <c r="AB49" s="3"/>
      <c r="AC49" s="3" t="s">
        <v>156</v>
      </c>
      <c r="AD49" s="3" t="s">
        <v>179</v>
      </c>
      <c r="AE49" s="13">
        <f>AH49+AK49+AN49+AQ49+AT49+AW49+AZ49+BC49</f>
        <v>54.710256125209362</v>
      </c>
      <c r="AF49" s="13"/>
      <c r="AG49" s="13">
        <f>SQRT(AF49)</f>
        <v>0</v>
      </c>
      <c r="AH49" s="13">
        <f>IF(AG49&gt;0,AG49/AG$99*1000, 0)</f>
        <v>0</v>
      </c>
      <c r="AI49" s="13">
        <v>0.2</v>
      </c>
      <c r="AJ49" s="13">
        <f>SQRT(AI49)</f>
        <v>0.44721359549995793</v>
      </c>
      <c r="AK49" s="13">
        <f>IF(AJ49&gt;0,AJ49/AJ$99*1000, 0)</f>
        <v>13.228145139581317</v>
      </c>
      <c r="AL49" s="13"/>
      <c r="AM49" s="13">
        <f>SQRT(AL49)</f>
        <v>0</v>
      </c>
      <c r="AN49" s="13">
        <f>IF(AM49&gt;0,AM49/AM$99*1000, 0)</f>
        <v>0</v>
      </c>
      <c r="AO49" s="13"/>
      <c r="AP49" s="13">
        <f>SQRT(AO49)</f>
        <v>0</v>
      </c>
      <c r="AQ49" s="13">
        <f>IF(AP49&gt;0,AP49/AP$99*1000, 0)</f>
        <v>0</v>
      </c>
      <c r="AR49" s="13"/>
      <c r="AS49" s="13">
        <f>SQRT(AR49)</f>
        <v>0</v>
      </c>
      <c r="AT49" s="13">
        <f>IF(AS49&gt;0,AS49/AS$99*1000, 0)</f>
        <v>0</v>
      </c>
      <c r="AU49" s="13"/>
      <c r="AV49" s="13">
        <f>SQRT(AU49)</f>
        <v>0</v>
      </c>
      <c r="AW49" s="13">
        <f>IF(AV49&gt;0,AV49/AV$99*1000, 0)</f>
        <v>0</v>
      </c>
      <c r="AX49" s="13">
        <v>0.3</v>
      </c>
      <c r="AY49" s="13">
        <f>SQRT(AX49)</f>
        <v>0.54772255750516607</v>
      </c>
      <c r="AZ49" s="13">
        <f>IF(AY49&gt;0,AY49/AY$99*1000, 0)</f>
        <v>26.463134055719429</v>
      </c>
      <c r="BA49" s="27">
        <v>42</v>
      </c>
      <c r="BB49" s="13">
        <f>SQRT(BA49)</f>
        <v>6.4807406984078604</v>
      </c>
      <c r="BC49" s="13">
        <f>IF(BB49&gt;0,BB49/BB$99*1000, 0)</f>
        <v>15.018976929908618</v>
      </c>
      <c r="BD49" s="24">
        <v>0.16</v>
      </c>
      <c r="BE49" s="21">
        <f>SQRT(BD49)</f>
        <v>0.4</v>
      </c>
      <c r="BF49" s="13">
        <f>IF(BE49&gt;0, BE49/BE$99*10000, 0)</f>
        <v>103.01103216829642</v>
      </c>
      <c r="BG49" s="27">
        <v>9</v>
      </c>
      <c r="BH49" s="13">
        <f>IF(BG49&gt;0, BG49/BG$99*2000, 0)</f>
        <v>25.034770514603615</v>
      </c>
      <c r="BI49" s="30">
        <v>0</v>
      </c>
      <c r="BJ49" s="30">
        <v>0</v>
      </c>
      <c r="BK49" s="30">
        <f>BJ49+BI49</f>
        <v>0</v>
      </c>
      <c r="BL49" s="3"/>
      <c r="BM49" s="1"/>
      <c r="BN49" s="1"/>
      <c r="BO49" s="1"/>
    </row>
    <row r="50" spans="1:67" s="6" customFormat="1" ht="20.100000000000001" customHeight="1" x14ac:dyDescent="0.25">
      <c r="A50" s="1"/>
      <c r="B50" s="1">
        <v>43</v>
      </c>
      <c r="C50" s="50">
        <v>46</v>
      </c>
      <c r="D50" s="51" t="str">
        <f>IF(C50&lt;B50,"▲"&amp;B50-C50,IF(C50&gt;B50,"▼"&amp;C50-B50,"—"))</f>
        <v>▼3</v>
      </c>
      <c r="E50" s="52" t="s">
        <v>64</v>
      </c>
      <c r="F50" s="53">
        <f>G50+O50+W50+AE50+BF50+BH50+BK50</f>
        <v>497.52532565745651</v>
      </c>
      <c r="G50" s="19">
        <f>IF(COUNTIF(H50:INDEX(H50:N50,$B$1),"&gt;0")=0,0,
SUMIF(H50:INDEX(H50:N50,$B$1),"&gt;0",H50:INDEX(H50:N50,$B$1))*$B$1/COUNTIF(H50:INDEX(H50:N50,$B$1),"&gt;0")*
IF($B$1-COUNTIF(H50:INDEX(H50:N50,$B$1),"&gt;0")&lt;=2,1,
IF($B$1-COUNTIF(H50:INDEX(H50:N50,$B$1),"&gt;0")=3,0.8,
IF($B$1-COUNTIF(H50:INDEX(H50:N50,$B$1),"&gt;0")=4,0.6,
IF($B$1-COUNTIF(H50:INDEX(H50:N50,$B$1),"&gt;0")=5,0.4,
IF($B$1-COUNTIF(H50:INDEX(H50:N50,$B$1),"&gt;0")=6,0.2,0))))))</f>
        <v>231</v>
      </c>
      <c r="H50" s="3">
        <v>31</v>
      </c>
      <c r="I50" s="3">
        <v>34</v>
      </c>
      <c r="J50" s="3">
        <v>33</v>
      </c>
      <c r="K50" s="3">
        <v>40</v>
      </c>
      <c r="L50" s="3">
        <v>29</v>
      </c>
      <c r="M50" s="3">
        <v>37</v>
      </c>
      <c r="N50" s="3">
        <v>27</v>
      </c>
      <c r="O50" s="13">
        <f>0.2*IF(COUNTIF(P50:INDEX(P50:V50,$B$1),"&gt;0")=0,0,
(SUMIF(P50:INDEX(P50:V50,$B$1),"&gt;0",P50:INDEX(P50:V50,$B$1))*$B$1/COUNTIF(P50:INDEX(P50:V50,$B$1),"&gt;0"))*
IF($B$1-COUNTIF(P50:INDEX(P50:V50,$B$1),"&gt;0")&lt;=2,1,
IF($B$1-COUNTIF(P50:INDEX(P50:V50,$B$1),"&gt;0")=3,0.8,
IF($B$1-COUNTIF(P50:INDEX(P50:V50,$B$1),"&gt;0")=4,0.6,
IF($B$1-COUNTIF(P50:INDEX(P50:V50,$B$1),"&gt;0")=5,0.4,
IF($B$1-COUNTIF(P50:INDEX(P50:V50,$B$1),"&gt;0")=6,0.2,0))))))</f>
        <v>65</v>
      </c>
      <c r="P50" s="3">
        <v>47</v>
      </c>
      <c r="Q50" s="3">
        <v>39</v>
      </c>
      <c r="R50" s="3">
        <v>49</v>
      </c>
      <c r="S50" s="3">
        <v>53</v>
      </c>
      <c r="T50" s="3">
        <v>46</v>
      </c>
      <c r="U50" s="3">
        <v>48</v>
      </c>
      <c r="V50" s="3">
        <v>43</v>
      </c>
      <c r="W50" s="3">
        <f>MIN(100,
IF($B$1&gt;=1,IFERROR(VALUE(SUBSTITUTE(SUBSTITUTE(TRIM(X50),"A",""),"B","")),0),0)+
IF($B$1&gt;=2,IFERROR(VALUE(SUBSTITUTE(SUBSTITUTE(TRIM(Y50),"A",""),"B","")),0),0)+
IF($B$1&gt;=3,IFERROR(VALUE(SUBSTITUTE(SUBSTITUTE(TRIM(Z50),"A",""),"B","")),0),0)+
IF($B$1&gt;=4,IFERROR(VALUE(SUBSTITUTE(SUBSTITUTE(TRIM(AA50),"A",""),"B","")),0),0)+
IF($B$1&gt;=5,IFERROR(VALUE(SUBSTITUTE(SUBSTITUTE(TRIM(AB50),"A",""),"B","")),0),0)+
IF($B$1&gt;=6,IFERROR(VALUE(SUBSTITUTE(SUBSTITUTE(TRIM(AC50),"A",""),"B","")),0),0)+
IF($B$1&gt;=7,IFERROR(VALUE(SUBSTITUTE(SUBSTITUTE(TRIM(AD50),"A",""),"B","")),0),0)
)</f>
        <v>40</v>
      </c>
      <c r="X50" s="3"/>
      <c r="Y50" s="3" t="s">
        <v>28</v>
      </c>
      <c r="Z50" s="3" t="s">
        <v>28</v>
      </c>
      <c r="AA50" s="3"/>
      <c r="AB50" s="3"/>
      <c r="AC50" s="3" t="s">
        <v>156</v>
      </c>
      <c r="AD50" s="3"/>
      <c r="AE50" s="13">
        <f>AH50+AK50+AN50+AQ50+AT50+AW50+AZ50+BC50</f>
        <v>38.615985245021278</v>
      </c>
      <c r="AF50" s="13"/>
      <c r="AG50" s="13">
        <f>SQRT(AF50)</f>
        <v>0</v>
      </c>
      <c r="AH50" s="13">
        <f>IF(AG50&gt;0,AG50/AG$99*1000, 0)</f>
        <v>0</v>
      </c>
      <c r="AI50" s="13">
        <v>0.1</v>
      </c>
      <c r="AJ50" s="13">
        <f>SQRT(AI50)</f>
        <v>0.31622776601683794</v>
      </c>
      <c r="AK50" s="13">
        <f>IF(AJ50&gt;0,AJ50/AJ$99*1000, 0)</f>
        <v>9.3537111307178193</v>
      </c>
      <c r="AL50" s="13"/>
      <c r="AM50" s="13">
        <f>SQRT(AL50)</f>
        <v>0</v>
      </c>
      <c r="AN50" s="13">
        <f>IF(AM50&gt;0,AM50/AM$99*1000, 0)</f>
        <v>0</v>
      </c>
      <c r="AO50" s="13"/>
      <c r="AP50" s="13">
        <f>SQRT(AO50)</f>
        <v>0</v>
      </c>
      <c r="AQ50" s="13">
        <f>IF(AP50&gt;0,AP50/AP$99*1000, 0)</f>
        <v>0</v>
      </c>
      <c r="AR50" s="13">
        <v>0.1</v>
      </c>
      <c r="AS50" s="13">
        <f>SQRT(AR50)</f>
        <v>0.31622776601683794</v>
      </c>
      <c r="AT50" s="13">
        <f>IF(AS50&gt;0,AS50/AS$99*1000, 0)</f>
        <v>17.908994713402151</v>
      </c>
      <c r="AU50" s="13"/>
      <c r="AV50" s="13">
        <f>SQRT(AU50)</f>
        <v>0</v>
      </c>
      <c r="AW50" s="13">
        <f>IF(AV50&gt;0,AV50/AV$99*1000, 0)</f>
        <v>0</v>
      </c>
      <c r="AX50" s="13"/>
      <c r="AY50" s="13">
        <f>SQRT(AX50)</f>
        <v>0</v>
      </c>
      <c r="AZ50" s="13">
        <f>IF(AY50&gt;0,AY50/AY$99*1000, 0)</f>
        <v>0</v>
      </c>
      <c r="BA50" s="27">
        <v>24</v>
      </c>
      <c r="BB50" s="13">
        <f>SQRT(BA50)</f>
        <v>4.8989794855663558</v>
      </c>
      <c r="BC50" s="13">
        <f>IF(BB50&gt;0,BB50/BB$99*1000, 0)</f>
        <v>11.353279400901304</v>
      </c>
      <c r="BD50" s="24">
        <v>0.08</v>
      </c>
      <c r="BE50" s="21">
        <f>SQRT(BD50)</f>
        <v>0.28284271247461901</v>
      </c>
      <c r="BF50" s="13">
        <f>IF(BE50&gt;0, BE50/BE$99*10000, 0)</f>
        <v>72.83979938322797</v>
      </c>
      <c r="BG50" s="27">
        <v>18</v>
      </c>
      <c r="BH50" s="13">
        <f>IF(BG50&gt;0, BG50/BG$99*2000, 0)</f>
        <v>50.06954102920723</v>
      </c>
      <c r="BI50" s="30">
        <v>0</v>
      </c>
      <c r="BJ50" s="30">
        <v>0</v>
      </c>
      <c r="BK50" s="30">
        <f>BJ50+BI50</f>
        <v>0</v>
      </c>
      <c r="BL50" s="3"/>
      <c r="BM50" s="1"/>
      <c r="BN50" s="1"/>
      <c r="BO50" s="1"/>
    </row>
    <row r="51" spans="1:67" s="6" customFormat="1" ht="20.100000000000001" customHeight="1" x14ac:dyDescent="0.25">
      <c r="A51" s="1"/>
      <c r="B51" s="1">
        <v>45</v>
      </c>
      <c r="C51" s="50">
        <v>47</v>
      </c>
      <c r="D51" s="51" t="str">
        <f>IF(C51&lt;B51,"▲"&amp;B51-C51,IF(C51&gt;B51,"▼"&amp;C51-B51,"—"))</f>
        <v>▼2</v>
      </c>
      <c r="E51" s="52" t="s">
        <v>60</v>
      </c>
      <c r="F51" s="53">
        <f>G51+O51+W51+AE51+BF51+BH51+BK51</f>
        <v>494.67229148590769</v>
      </c>
      <c r="G51" s="19">
        <f>IF(COUNTIF(H51:INDEX(H51:N51,$B$1),"&gt;0")=0,0,
SUMIF(H51:INDEX(H51:N51,$B$1),"&gt;0",H51:INDEX(H51:N51,$B$1))*$B$1/COUNTIF(H51:INDEX(H51:N51,$B$1),"&gt;0")*
IF($B$1-COUNTIF(H51:INDEX(H51:N51,$B$1),"&gt;0")&lt;=2,1,
IF($B$1-COUNTIF(H51:INDEX(H51:N51,$B$1),"&gt;0")=3,0.8,
IF($B$1-COUNTIF(H51:INDEX(H51:N51,$B$1),"&gt;0")=4,0.6,
IF($B$1-COUNTIF(H51:INDEX(H51:N51,$B$1),"&gt;0")=5,0.4,
IF($B$1-COUNTIF(H51:INDEX(H51:N51,$B$1),"&gt;0")=6,0.2,0))))))</f>
        <v>277</v>
      </c>
      <c r="H51" s="3">
        <v>42</v>
      </c>
      <c r="I51" s="3">
        <v>51</v>
      </c>
      <c r="J51" s="3">
        <v>38</v>
      </c>
      <c r="K51" s="3">
        <v>39</v>
      </c>
      <c r="L51" s="3">
        <v>28</v>
      </c>
      <c r="M51" s="3">
        <v>39</v>
      </c>
      <c r="N51" s="3">
        <v>40</v>
      </c>
      <c r="O51" s="13">
        <f>0.2*IF(COUNTIF(P51:INDEX(P51:V51,$B$1),"&gt;0")=0,0,
(SUMIF(P51:INDEX(P51:V51,$B$1),"&gt;0",P51:INDEX(P51:V51,$B$1))*$B$1/COUNTIF(P51:INDEX(P51:V51,$B$1),"&gt;0"))*
IF($B$1-COUNTIF(P51:INDEX(P51:V51,$B$1),"&gt;0")&lt;=2,1,
IF($B$1-COUNTIF(P51:INDEX(P51:V51,$B$1),"&gt;0")=3,0.8,
IF($B$1-COUNTIF(P51:INDEX(P51:V51,$B$1),"&gt;0")=4,0.6,
IF($B$1-COUNTIF(P51:INDEX(P51:V51,$B$1),"&gt;0")=5,0.4,
IF($B$1-COUNTIF(P51:INDEX(P51:V51,$B$1),"&gt;0")=6,0.2,0))))))</f>
        <v>58.6</v>
      </c>
      <c r="P51" s="3">
        <v>39</v>
      </c>
      <c r="Q51" s="3">
        <v>42</v>
      </c>
      <c r="R51" s="3">
        <v>44</v>
      </c>
      <c r="S51" s="3">
        <v>42</v>
      </c>
      <c r="T51" s="3">
        <v>39</v>
      </c>
      <c r="U51" s="3">
        <v>43</v>
      </c>
      <c r="V51" s="3">
        <v>44</v>
      </c>
      <c r="W51" s="3">
        <f>MIN(100,
IF($B$1&gt;=1,IFERROR(VALUE(SUBSTITUTE(SUBSTITUTE(TRIM(X51),"A",""),"B","")),0),0)+
IF($B$1&gt;=2,IFERROR(VALUE(SUBSTITUTE(SUBSTITUTE(TRIM(Y51),"A",""),"B","")),0),0)+
IF($B$1&gt;=3,IFERROR(VALUE(SUBSTITUTE(SUBSTITUTE(TRIM(Z51),"A",""),"B","")),0),0)+
IF($B$1&gt;=4,IFERROR(VALUE(SUBSTITUTE(SUBSTITUTE(TRIM(AA51),"A",""),"B","")),0),0)+
IF($B$1&gt;=5,IFERROR(VALUE(SUBSTITUTE(SUBSTITUTE(TRIM(AB51),"A",""),"B","")),0),0)+
IF($B$1&gt;=6,IFERROR(VALUE(SUBSTITUTE(SUBSTITUTE(TRIM(AC51),"A",""),"B","")),0),0)+
IF($B$1&gt;=7,IFERROR(VALUE(SUBSTITUTE(SUBSTITUTE(TRIM(AD51),"A",""),"B","")),0),0)
)</f>
        <v>20</v>
      </c>
      <c r="X51" s="3"/>
      <c r="Y51" s="3"/>
      <c r="Z51" s="3"/>
      <c r="AA51" s="3"/>
      <c r="AB51" s="3"/>
      <c r="AC51" s="3" t="s">
        <v>156</v>
      </c>
      <c r="AD51" s="3"/>
      <c r="AE51" s="13">
        <f>AH51+AK51+AN51+AQ51+AT51+AW51+AZ51+BC51</f>
        <v>16.201102917725795</v>
      </c>
      <c r="AF51" s="13"/>
      <c r="AG51" s="13">
        <f>SQRT(AF51)</f>
        <v>0</v>
      </c>
      <c r="AH51" s="13">
        <f>IF(AG51&gt;0,AG51/AG$99*1000, 0)</f>
        <v>0</v>
      </c>
      <c r="AI51" s="13">
        <v>0.3</v>
      </c>
      <c r="AJ51" s="13">
        <f>SQRT(AI51)</f>
        <v>0.54772255750516607</v>
      </c>
      <c r="AK51" s="13">
        <f>IF(AJ51&gt;0,AJ51/AJ$99*1000, 0)</f>
        <v>16.201102917725795</v>
      </c>
      <c r="AL51" s="13"/>
      <c r="AM51" s="13">
        <f>SQRT(AL51)</f>
        <v>0</v>
      </c>
      <c r="AN51" s="13">
        <f>IF(AM51&gt;0,AM51/AM$99*1000, 0)</f>
        <v>0</v>
      </c>
      <c r="AO51" s="13"/>
      <c r="AP51" s="13">
        <f>SQRT(AO51)</f>
        <v>0</v>
      </c>
      <c r="AQ51" s="13">
        <f>IF(AP51&gt;0,AP51/AP$99*1000, 0)</f>
        <v>0</v>
      </c>
      <c r="AR51" s="13"/>
      <c r="AS51" s="13">
        <f>SQRT(AR51)</f>
        <v>0</v>
      </c>
      <c r="AT51" s="13">
        <f>IF(AS51&gt;0,AS51/AS$99*1000, 0)</f>
        <v>0</v>
      </c>
      <c r="AU51" s="13"/>
      <c r="AV51" s="13">
        <f>SQRT(AU51)</f>
        <v>0</v>
      </c>
      <c r="AW51" s="13">
        <f>IF(AV51&gt;0,AV51/AV$99*1000, 0)</f>
        <v>0</v>
      </c>
      <c r="AX51" s="13"/>
      <c r="AY51" s="13">
        <f>SQRT(AX51)</f>
        <v>0</v>
      </c>
      <c r="AZ51" s="13">
        <f>IF(AY51&gt;0,AY51/AY$99*1000, 0)</f>
        <v>0</v>
      </c>
      <c r="BA51" s="27"/>
      <c r="BB51" s="13">
        <f>SQRT(BA51)</f>
        <v>0</v>
      </c>
      <c r="BC51" s="13">
        <f>IF(BB51&gt;0,BB51/BB$99*1000, 0)</f>
        <v>0</v>
      </c>
      <c r="BD51" s="24">
        <v>0.17</v>
      </c>
      <c r="BE51" s="21">
        <f>SQRT(BD51)</f>
        <v>0.41231056256176607</v>
      </c>
      <c r="BF51" s="13">
        <f>IF(BE51&gt;0, BE51/BE$99*10000, 0)</f>
        <v>106.18134155844618</v>
      </c>
      <c r="BG51" s="27">
        <v>6</v>
      </c>
      <c r="BH51" s="13">
        <f>IF(BG51&gt;0, BG51/BG$99*2000, 0)</f>
        <v>16.689847009735743</v>
      </c>
      <c r="BI51" s="30">
        <v>0</v>
      </c>
      <c r="BJ51" s="30">
        <v>0</v>
      </c>
      <c r="BK51" s="30">
        <f>BJ51+BI51</f>
        <v>0</v>
      </c>
      <c r="BL51" s="3"/>
      <c r="BM51" s="1"/>
      <c r="BN51" s="1"/>
      <c r="BO51" s="1"/>
    </row>
    <row r="52" spans="1:67" s="6" customFormat="1" ht="20.100000000000001" customHeight="1" x14ac:dyDescent="0.25">
      <c r="A52" s="1"/>
      <c r="B52" s="1">
        <v>44</v>
      </c>
      <c r="C52" s="50">
        <v>48</v>
      </c>
      <c r="D52" s="51" t="str">
        <f>IF(C52&lt;B52,"▲"&amp;B52-C52,IF(C52&gt;B52,"▼"&amp;C52-B52,"—"))</f>
        <v>▼4</v>
      </c>
      <c r="E52" s="52" t="s">
        <v>62</v>
      </c>
      <c r="F52" s="53">
        <f>G52+O52+W52+AE52+BF52+BH52+BK52</f>
        <v>474.49781779079336</v>
      </c>
      <c r="G52" s="19">
        <f>IF(COUNTIF(H52:INDEX(H52:N52,$B$1),"&gt;0")=0,0,
SUMIF(H52:INDEX(H52:N52,$B$1),"&gt;0",H52:INDEX(H52:N52,$B$1))*$B$1/COUNTIF(H52:INDEX(H52:N52,$B$1),"&gt;0")*
IF($B$1-COUNTIF(H52:INDEX(H52:N52,$B$1),"&gt;0")&lt;=2,1,
IF($B$1-COUNTIF(H52:INDEX(H52:N52,$B$1),"&gt;0")=3,0.8,
IF($B$1-COUNTIF(H52:INDEX(H52:N52,$B$1),"&gt;0")=4,0.6,
IF($B$1-COUNTIF(H52:INDEX(H52:N52,$B$1),"&gt;0")=5,0.4,
IF($B$1-COUNTIF(H52:INDEX(H52:N52,$B$1),"&gt;0")=6,0.2,0))))))</f>
        <v>219</v>
      </c>
      <c r="H52" s="3">
        <v>29</v>
      </c>
      <c r="I52" s="3">
        <v>46</v>
      </c>
      <c r="J52" s="3">
        <v>46</v>
      </c>
      <c r="K52" s="3">
        <v>18</v>
      </c>
      <c r="L52" s="3">
        <v>32</v>
      </c>
      <c r="M52" s="3">
        <v>28</v>
      </c>
      <c r="N52" s="3">
        <v>20</v>
      </c>
      <c r="O52" s="13">
        <f>0.2*IF(COUNTIF(P52:INDEX(P52:V52,$B$1),"&gt;0")=0,0,
(SUMIF(P52:INDEX(P52:V52,$B$1),"&gt;0",P52:INDEX(P52:V52,$B$1))*$B$1/COUNTIF(P52:INDEX(P52:V52,$B$1),"&gt;0"))*
IF($B$1-COUNTIF(P52:INDEX(P52:V52,$B$1),"&gt;0")&lt;=2,1,
IF($B$1-COUNTIF(P52:INDEX(P52:V52,$B$1),"&gt;0")=3,0.8,
IF($B$1-COUNTIF(P52:INDEX(P52:V52,$B$1),"&gt;0")=4,0.6,
IF($B$1-COUNTIF(P52:INDEX(P52:V52,$B$1),"&gt;0")=5,0.4,
IF($B$1-COUNTIF(P52:INDEX(P52:V52,$B$1),"&gt;0")=6,0.2,0))))))</f>
        <v>60.6</v>
      </c>
      <c r="P52" s="3">
        <v>44</v>
      </c>
      <c r="Q52" s="3">
        <v>42</v>
      </c>
      <c r="R52" s="3">
        <v>47</v>
      </c>
      <c r="S52" s="3">
        <v>42</v>
      </c>
      <c r="T52" s="3">
        <v>48</v>
      </c>
      <c r="U52" s="3">
        <v>44</v>
      </c>
      <c r="V52" s="3">
        <v>36</v>
      </c>
      <c r="W52" s="3">
        <f>MIN(100,
IF($B$1&gt;=1,IFERROR(VALUE(SUBSTITUTE(SUBSTITUTE(TRIM(X52),"A",""),"B","")),0),0)+
IF($B$1&gt;=2,IFERROR(VALUE(SUBSTITUTE(SUBSTITUTE(TRIM(Y52),"A",""),"B","")),0),0)+
IF($B$1&gt;=3,IFERROR(VALUE(SUBSTITUTE(SUBSTITUTE(TRIM(Z52),"A",""),"B","")),0),0)+
IF($B$1&gt;=4,IFERROR(VALUE(SUBSTITUTE(SUBSTITUTE(TRIM(AA52),"A",""),"B","")),0),0)+
IF($B$1&gt;=5,IFERROR(VALUE(SUBSTITUTE(SUBSTITUTE(TRIM(AB52),"A",""),"B","")),0),0)+
IF($B$1&gt;=6,IFERROR(VALUE(SUBSTITUTE(SUBSTITUTE(TRIM(AC52),"A",""),"B","")),0),0)+
IF($B$1&gt;=7,IFERROR(VALUE(SUBSTITUTE(SUBSTITUTE(TRIM(AD52),"A",""),"B","")),0),0)
)</f>
        <v>20</v>
      </c>
      <c r="X52" s="3"/>
      <c r="Y52" s="3"/>
      <c r="Z52" s="3"/>
      <c r="AA52" s="3"/>
      <c r="AB52" s="3"/>
      <c r="AC52" s="3" t="s">
        <v>156</v>
      </c>
      <c r="AD52" s="3"/>
      <c r="AE52" s="13">
        <f>AH52+AK52+AN52+AQ52+AT52+AW52+AZ52+BC52</f>
        <v>30.054823697206803</v>
      </c>
      <c r="AF52" s="13">
        <v>1</v>
      </c>
      <c r="AG52" s="13">
        <f>SQRT(AF52)</f>
        <v>1</v>
      </c>
      <c r="AH52" s="13">
        <f>IF(AG52&gt;0,AG52/AG$99*1000, 0)</f>
        <v>26.777414238059102</v>
      </c>
      <c r="AI52" s="13"/>
      <c r="AJ52" s="13">
        <f>SQRT(AI52)</f>
        <v>0</v>
      </c>
      <c r="AK52" s="13">
        <f>IF(AJ52&gt;0,AJ52/AJ$99*1000, 0)</f>
        <v>0</v>
      </c>
      <c r="AL52" s="13"/>
      <c r="AM52" s="13">
        <f>SQRT(AL52)</f>
        <v>0</v>
      </c>
      <c r="AN52" s="13">
        <f>IF(AM52&gt;0,AM52/AM$99*1000, 0)</f>
        <v>0</v>
      </c>
      <c r="AO52" s="13"/>
      <c r="AP52" s="13">
        <f>SQRT(AO52)</f>
        <v>0</v>
      </c>
      <c r="AQ52" s="13">
        <f>IF(AP52&gt;0,AP52/AP$99*1000, 0)</f>
        <v>0</v>
      </c>
      <c r="AR52" s="13"/>
      <c r="AS52" s="13">
        <f>SQRT(AR52)</f>
        <v>0</v>
      </c>
      <c r="AT52" s="13">
        <f>IF(AS52&gt;0,AS52/AS$99*1000, 0)</f>
        <v>0</v>
      </c>
      <c r="AU52" s="13"/>
      <c r="AV52" s="13">
        <f>SQRT(AU52)</f>
        <v>0</v>
      </c>
      <c r="AW52" s="13">
        <f>IF(AV52&gt;0,AV52/AV$99*1000, 0)</f>
        <v>0</v>
      </c>
      <c r="AX52" s="13"/>
      <c r="AY52" s="13">
        <f>SQRT(AX52)</f>
        <v>0</v>
      </c>
      <c r="AZ52" s="13">
        <f>IF(AY52&gt;0,AY52/AY$99*1000, 0)</f>
        <v>0</v>
      </c>
      <c r="BA52" s="27">
        <v>2</v>
      </c>
      <c r="BB52" s="13">
        <f>SQRT(BA52)</f>
        <v>1.4142135623730951</v>
      </c>
      <c r="BC52" s="13">
        <f>IF(BB52&gt;0,BB52/BB$99*1000, 0)</f>
        <v>3.2774094591477008</v>
      </c>
      <c r="BD52" s="24">
        <v>0.12</v>
      </c>
      <c r="BE52" s="21">
        <f>SQRT(BD52)</f>
        <v>0.34641016151377546</v>
      </c>
      <c r="BF52" s="13">
        <f>IF(BE52&gt;0, BE52/BE$99*10000, 0)</f>
        <v>89.210170727800701</v>
      </c>
      <c r="BG52" s="27">
        <v>20</v>
      </c>
      <c r="BH52" s="13">
        <f>IF(BG52&gt;0, BG52/BG$99*2000, 0)</f>
        <v>55.632823365785818</v>
      </c>
      <c r="BI52" s="30">
        <v>0</v>
      </c>
      <c r="BJ52" s="30">
        <v>0</v>
      </c>
      <c r="BK52" s="30">
        <f>BJ52+BI52</f>
        <v>0</v>
      </c>
      <c r="BL52" s="3"/>
      <c r="BM52" s="1"/>
      <c r="BN52" s="1"/>
      <c r="BO52" s="1"/>
    </row>
    <row r="53" spans="1:67" s="6" customFormat="1" ht="20.100000000000001" customHeight="1" x14ac:dyDescent="0.25">
      <c r="A53" s="1"/>
      <c r="B53" s="1">
        <v>47</v>
      </c>
      <c r="C53" s="50">
        <v>49</v>
      </c>
      <c r="D53" s="51" t="str">
        <f>IF(C53&lt;B53,"▲"&amp;B53-C53,IF(C53&gt;B53,"▼"&amp;C53-B53,"—"))</f>
        <v>▼2</v>
      </c>
      <c r="E53" s="52" t="s">
        <v>59</v>
      </c>
      <c r="F53" s="53">
        <f>G53+O53+W53+AE53+BF53+BH53+BK53</f>
        <v>469.02250955144467</v>
      </c>
      <c r="G53" s="19">
        <f>IF(COUNTIF(H53:INDEX(H53:N53,$B$1),"&gt;0")=0,0,
SUMIF(H53:INDEX(H53:N53,$B$1),"&gt;0",H53:INDEX(H53:N53,$B$1))*$B$1/COUNTIF(H53:INDEX(H53:N53,$B$1),"&gt;0")*
IF($B$1-COUNTIF(H53:INDEX(H53:N53,$B$1),"&gt;0")&lt;=2,1,
IF($B$1-COUNTIF(H53:INDEX(H53:N53,$B$1),"&gt;0")=3,0.8,
IF($B$1-COUNTIF(H53:INDEX(H53:N53,$B$1),"&gt;0")=4,0.6,
IF($B$1-COUNTIF(H53:INDEX(H53:N53,$B$1),"&gt;0")=5,0.4,
IF($B$1-COUNTIF(H53:INDEX(H53:N53,$B$1),"&gt;0")=6,0.2,0))))))</f>
        <v>322</v>
      </c>
      <c r="H53" s="3">
        <v>39</v>
      </c>
      <c r="I53" s="3">
        <v>53</v>
      </c>
      <c r="J53" s="3">
        <v>39</v>
      </c>
      <c r="K53" s="3">
        <v>48</v>
      </c>
      <c r="L53" s="3">
        <v>40</v>
      </c>
      <c r="M53" s="3">
        <v>54</v>
      </c>
      <c r="N53" s="3">
        <v>49</v>
      </c>
      <c r="O53" s="13">
        <f>0.2*IF(COUNTIF(P53:INDEX(P53:V53,$B$1),"&gt;0")=0,0,
(SUMIF(P53:INDEX(P53:V53,$B$1),"&gt;0",P53:INDEX(P53:V53,$B$1))*$B$1/COUNTIF(P53:INDEX(P53:V53,$B$1),"&gt;0"))*
IF($B$1-COUNTIF(P53:INDEX(P53:V53,$B$1),"&gt;0")&lt;=2,1,
IF($B$1-COUNTIF(P53:INDEX(P53:V53,$B$1),"&gt;0")=3,0.8,
IF($B$1-COUNTIF(P53:INDEX(P53:V53,$B$1),"&gt;0")=4,0.6,
IF($B$1-COUNTIF(P53:INDEX(P53:V53,$B$1),"&gt;0")=5,0.4,
IF($B$1-COUNTIF(P53:INDEX(P53:V53,$B$1),"&gt;0")=6,0.2,0))))))</f>
        <v>60.6</v>
      </c>
      <c r="P53" s="3">
        <v>44</v>
      </c>
      <c r="Q53" s="3">
        <v>35</v>
      </c>
      <c r="R53" s="3">
        <v>47</v>
      </c>
      <c r="S53" s="3">
        <v>47</v>
      </c>
      <c r="T53" s="3">
        <v>42</v>
      </c>
      <c r="U53" s="3">
        <v>46</v>
      </c>
      <c r="V53" s="3">
        <v>42</v>
      </c>
      <c r="W53" s="3">
        <f>MIN(100,
IF($B$1&gt;=1,IFERROR(VALUE(SUBSTITUTE(SUBSTITUTE(TRIM(X53),"A",""),"B","")),0),0)+
IF($B$1&gt;=2,IFERROR(VALUE(SUBSTITUTE(SUBSTITUTE(TRIM(Y53),"A",""),"B","")),0),0)+
IF($B$1&gt;=3,IFERROR(VALUE(SUBSTITUTE(SUBSTITUTE(TRIM(Z53),"A",""),"B","")),0),0)+
IF($B$1&gt;=4,IFERROR(VALUE(SUBSTITUTE(SUBSTITUTE(TRIM(AA53),"A",""),"B","")),0),0)+
IF($B$1&gt;=5,IFERROR(VALUE(SUBSTITUTE(SUBSTITUTE(TRIM(AB53),"A",""),"B","")),0),0)+
IF($B$1&gt;=6,IFERROR(VALUE(SUBSTITUTE(SUBSTITUTE(TRIM(AC53),"A",""),"B","")),0),0)+
IF($B$1&gt;=7,IFERROR(VALUE(SUBSTITUTE(SUBSTITUTE(TRIM(AD53),"A",""),"B","")),0),0)
)</f>
        <v>20</v>
      </c>
      <c r="X53" s="3"/>
      <c r="Y53" s="3"/>
      <c r="Z53" s="3"/>
      <c r="AA53" s="3"/>
      <c r="AB53" s="3"/>
      <c r="AC53" s="3" t="s">
        <v>156</v>
      </c>
      <c r="AD53" s="3"/>
      <c r="AE53" s="13">
        <f>AH53+AK53+AN53+AQ53+AT53+AW53+AZ53+BC53</f>
        <v>9.3537111307178193</v>
      </c>
      <c r="AF53" s="13"/>
      <c r="AG53" s="13">
        <f>SQRT(AF53)</f>
        <v>0</v>
      </c>
      <c r="AH53" s="13">
        <f>IF(AG53&gt;0,AG53/AG$99*1000, 0)</f>
        <v>0</v>
      </c>
      <c r="AI53" s="13">
        <v>0.1</v>
      </c>
      <c r="AJ53" s="13">
        <f>SQRT(AI53)</f>
        <v>0.31622776601683794</v>
      </c>
      <c r="AK53" s="13">
        <f>IF(AJ53&gt;0,AJ53/AJ$99*1000, 0)</f>
        <v>9.3537111307178193</v>
      </c>
      <c r="AL53" s="13"/>
      <c r="AM53" s="13">
        <f>SQRT(AL53)</f>
        <v>0</v>
      </c>
      <c r="AN53" s="13">
        <f>IF(AM53&gt;0,AM53/AM$99*1000, 0)</f>
        <v>0</v>
      </c>
      <c r="AO53" s="13"/>
      <c r="AP53" s="13">
        <f>SQRT(AO53)</f>
        <v>0</v>
      </c>
      <c r="AQ53" s="13">
        <f>IF(AP53&gt;0,AP53/AP$99*1000, 0)</f>
        <v>0</v>
      </c>
      <c r="AR53" s="13"/>
      <c r="AS53" s="13">
        <f>SQRT(AR53)</f>
        <v>0</v>
      </c>
      <c r="AT53" s="13">
        <f>IF(AS53&gt;0,AS53/AS$99*1000, 0)</f>
        <v>0</v>
      </c>
      <c r="AU53" s="13"/>
      <c r="AV53" s="13">
        <f>SQRT(AU53)</f>
        <v>0</v>
      </c>
      <c r="AW53" s="13">
        <f>IF(AV53&gt;0,AV53/AV$99*1000, 0)</f>
        <v>0</v>
      </c>
      <c r="AX53" s="13"/>
      <c r="AY53" s="13">
        <f>SQRT(AX53)</f>
        <v>0</v>
      </c>
      <c r="AZ53" s="13">
        <f>IF(AY53&gt;0,AY53/AY$99*1000, 0)</f>
        <v>0</v>
      </c>
      <c r="BA53" s="27"/>
      <c r="BB53" s="13">
        <f>SQRT(BA53)</f>
        <v>0</v>
      </c>
      <c r="BC53" s="13">
        <f>IF(BB53&gt;0,BB53/BB$99*1000, 0)</f>
        <v>0</v>
      </c>
      <c r="BD53" s="24">
        <v>0.04</v>
      </c>
      <c r="BE53" s="21">
        <f>SQRT(BD53)</f>
        <v>0.2</v>
      </c>
      <c r="BF53" s="13">
        <f>IF(BE53&gt;0, BE53/BE$99*10000, 0)</f>
        <v>51.505516084148212</v>
      </c>
      <c r="BG53" s="27">
        <v>2</v>
      </c>
      <c r="BH53" s="13">
        <f>IF(BG53&gt;0, BG53/BG$99*2000, 0)</f>
        <v>5.5632823365785811</v>
      </c>
      <c r="BI53" s="30">
        <v>0</v>
      </c>
      <c r="BJ53" s="30">
        <v>0</v>
      </c>
      <c r="BK53" s="30">
        <f>BJ53+BI53</f>
        <v>0</v>
      </c>
      <c r="BL53" s="3"/>
      <c r="BM53" s="1"/>
      <c r="BN53" s="1"/>
      <c r="BO53" s="1"/>
    </row>
    <row r="54" spans="1:67" s="6" customFormat="1" ht="20.100000000000001" customHeight="1" x14ac:dyDescent="0.25">
      <c r="A54" s="1"/>
      <c r="B54" s="1">
        <v>50</v>
      </c>
      <c r="C54" s="50">
        <v>50</v>
      </c>
      <c r="D54" s="51" t="str">
        <f>IF(C54&lt;B54,"▲"&amp;B54-C54,IF(C54&gt;B54,"▼"&amp;C54-B54,"—"))</f>
        <v>—</v>
      </c>
      <c r="E54" s="52" t="s">
        <v>54</v>
      </c>
      <c r="F54" s="53">
        <f>G54+O54+W54+AE54+BF54+BH54+BK54</f>
        <v>451.97175203056702</v>
      </c>
      <c r="G54" s="19">
        <f>IF(COUNTIF(H54:INDEX(H54:N54,$B$1),"&gt;0")=0,0,
SUMIF(H54:INDEX(H54:N54,$B$1),"&gt;0",H54:INDEX(H54:N54,$B$1))*$B$1/COUNTIF(H54:INDEX(H54:N54,$B$1),"&gt;0")*
IF($B$1-COUNTIF(H54:INDEX(H54:N54,$B$1),"&gt;0")&lt;=2,1,
IF($B$1-COUNTIF(H54:INDEX(H54:N54,$B$1),"&gt;0")=3,0.8,
IF($B$1-COUNTIF(H54:INDEX(H54:N54,$B$1),"&gt;0")=4,0.6,
IF($B$1-COUNTIF(H54:INDEX(H54:N54,$B$1),"&gt;0")=5,0.4,
IF($B$1-COUNTIF(H54:INDEX(H54:N54,$B$1),"&gt;0")=6,0.2,0))))))</f>
        <v>333</v>
      </c>
      <c r="H54" s="3">
        <v>60</v>
      </c>
      <c r="I54" s="3">
        <v>43</v>
      </c>
      <c r="J54" s="3">
        <v>55</v>
      </c>
      <c r="K54" s="3">
        <v>56</v>
      </c>
      <c r="L54" s="3">
        <v>50</v>
      </c>
      <c r="M54" s="3">
        <v>25</v>
      </c>
      <c r="N54" s="3">
        <v>44</v>
      </c>
      <c r="O54" s="13">
        <f>0.2*IF(COUNTIF(P54:INDEX(P54:V54,$B$1),"&gt;0")=0,0,
(SUMIF(P54:INDEX(P54:V54,$B$1),"&gt;0",P54:INDEX(P54:V54,$B$1))*$B$1/COUNTIF(P54:INDEX(P54:V54,$B$1),"&gt;0"))*
IF($B$1-COUNTIF(P54:INDEX(P54:V54,$B$1),"&gt;0")&lt;=2,1,
IF($B$1-COUNTIF(P54:INDEX(P54:V54,$B$1),"&gt;0")=3,0.8,
IF($B$1-COUNTIF(P54:INDEX(P54:V54,$B$1),"&gt;0")=4,0.6,
IF($B$1-COUNTIF(P54:INDEX(P54:V54,$B$1),"&gt;0")=5,0.4,
IF($B$1-COUNTIF(P54:INDEX(P54:V54,$B$1),"&gt;0")=6,0.2,0))))))</f>
        <v>54.366666666666667</v>
      </c>
      <c r="P54" s="3">
        <v>-1</v>
      </c>
      <c r="Q54" s="3">
        <v>36</v>
      </c>
      <c r="R54" s="3">
        <v>42</v>
      </c>
      <c r="S54" s="3">
        <v>50</v>
      </c>
      <c r="T54" s="3">
        <v>38</v>
      </c>
      <c r="U54" s="3">
        <v>28</v>
      </c>
      <c r="V54" s="3">
        <v>39</v>
      </c>
      <c r="W54" s="3">
        <f>MIN(100,
IF($B$1&gt;=1,IFERROR(VALUE(SUBSTITUTE(SUBSTITUTE(TRIM(X54),"A",""),"B","")),0),0)+
IF($B$1&gt;=2,IFERROR(VALUE(SUBSTITUTE(SUBSTITUTE(TRIM(Y54),"A",""),"B","")),0),0)+
IF($B$1&gt;=3,IFERROR(VALUE(SUBSTITUTE(SUBSTITUTE(TRIM(Z54),"A",""),"B","")),0),0)+
IF($B$1&gt;=4,IFERROR(VALUE(SUBSTITUTE(SUBSTITUTE(TRIM(AA54),"A",""),"B","")),0),0)+
IF($B$1&gt;=5,IFERROR(VALUE(SUBSTITUTE(SUBSTITUTE(TRIM(AB54),"A",""),"B","")),0),0)+
IF($B$1&gt;=6,IFERROR(VALUE(SUBSTITUTE(SUBSTITUTE(TRIM(AC54),"A",""),"B","")),0),0)+
IF($B$1&gt;=7,IFERROR(VALUE(SUBSTITUTE(SUBSTITUTE(TRIM(AD54),"A",""),"B","")),0),0)
)</f>
        <v>20</v>
      </c>
      <c r="X54" s="3"/>
      <c r="Y54" s="3"/>
      <c r="Z54" s="3"/>
      <c r="AA54" s="3"/>
      <c r="AB54" s="3"/>
      <c r="AC54" s="3" t="s">
        <v>156</v>
      </c>
      <c r="AD54" s="3"/>
      <c r="AE54" s="13">
        <f>AH54+AK54+AN54+AQ54+AT54+AW54+AZ54+BC54</f>
        <v>0</v>
      </c>
      <c r="AF54" s="13"/>
      <c r="AG54" s="13">
        <f>SQRT(AF54)</f>
        <v>0</v>
      </c>
      <c r="AH54" s="13">
        <f>IF(AG54&gt;0,AG54/AG$99*1000, 0)</f>
        <v>0</v>
      </c>
      <c r="AI54" s="13"/>
      <c r="AJ54" s="13">
        <f>SQRT(AI54)</f>
        <v>0</v>
      </c>
      <c r="AK54" s="13">
        <f>IF(AJ54&gt;0,AJ54/AJ$99*1000, 0)</f>
        <v>0</v>
      </c>
      <c r="AL54" s="13"/>
      <c r="AM54" s="13">
        <f>SQRT(AL54)</f>
        <v>0</v>
      </c>
      <c r="AN54" s="13">
        <f>IF(AM54&gt;0,AM54/AM$99*1000, 0)</f>
        <v>0</v>
      </c>
      <c r="AO54" s="13"/>
      <c r="AP54" s="13">
        <f>SQRT(AO54)</f>
        <v>0</v>
      </c>
      <c r="AQ54" s="13">
        <f>IF(AP54&gt;0,AP54/AP$99*1000, 0)</f>
        <v>0</v>
      </c>
      <c r="AR54" s="13"/>
      <c r="AS54" s="13">
        <f>SQRT(AR54)</f>
        <v>0</v>
      </c>
      <c r="AT54" s="13">
        <f>IF(AS54&gt;0,AS54/AS$99*1000, 0)</f>
        <v>0</v>
      </c>
      <c r="AU54" s="13"/>
      <c r="AV54" s="13">
        <f>SQRT(AU54)</f>
        <v>0</v>
      </c>
      <c r="AW54" s="13">
        <f>IF(AV54&gt;0,AV54/AV$99*1000, 0)</f>
        <v>0</v>
      </c>
      <c r="AX54" s="13"/>
      <c r="AY54" s="13">
        <f>SQRT(AX54)</f>
        <v>0</v>
      </c>
      <c r="AZ54" s="13">
        <f>IF(AY54&gt;0,AY54/AY$99*1000, 0)</f>
        <v>0</v>
      </c>
      <c r="BA54" s="27"/>
      <c r="BB54" s="13">
        <f>SQRT(BA54)</f>
        <v>0</v>
      </c>
      <c r="BC54" s="13">
        <f>IF(BB54&gt;0,BB54/BB$99*1000, 0)</f>
        <v>0</v>
      </c>
      <c r="BD54" s="24">
        <v>0.03</v>
      </c>
      <c r="BE54" s="21">
        <f>SQRT(BD54)</f>
        <v>0.17320508075688773</v>
      </c>
      <c r="BF54" s="13">
        <f>IF(BE54&gt;0, BE54/BE$99*10000, 0)</f>
        <v>44.605085363900351</v>
      </c>
      <c r="BG54" s="27"/>
      <c r="BH54" s="13">
        <f>IF(BG54&gt;0, BG54/BG$99*2000, 0)</f>
        <v>0</v>
      </c>
      <c r="BI54" s="30">
        <v>0</v>
      </c>
      <c r="BJ54" s="30">
        <v>0</v>
      </c>
      <c r="BK54" s="30">
        <f>BJ54+BI54</f>
        <v>0</v>
      </c>
      <c r="BL54" s="3"/>
      <c r="BM54" s="1"/>
      <c r="BN54" s="1"/>
      <c r="BO54" s="1"/>
    </row>
    <row r="55" spans="1:67" s="6" customFormat="1" ht="20.100000000000001" customHeight="1" x14ac:dyDescent="0.25">
      <c r="A55" s="1"/>
      <c r="B55" s="1">
        <v>49</v>
      </c>
      <c r="C55" s="50">
        <v>51</v>
      </c>
      <c r="D55" s="51" t="str">
        <f>IF(C55&lt;B55,"▲"&amp;B55-C55,IF(C55&gt;B55,"▼"&amp;C55-B55,"—"))</f>
        <v>▼2</v>
      </c>
      <c r="E55" s="52" t="s">
        <v>82</v>
      </c>
      <c r="F55" s="53">
        <f>G55+O55+W55+AE55+BF55+BH55+BK55</f>
        <v>435.54545236353454</v>
      </c>
      <c r="G55" s="19">
        <f>IF(COUNTIF(H55:INDEX(H55:N55,$B$1),"&gt;0")=0,0,
SUMIF(H55:INDEX(H55:N55,$B$1),"&gt;0",H55:INDEX(H55:N55,$B$1))*$B$1/COUNTIF(H55:INDEX(H55:N55,$B$1),"&gt;0")*
IF($B$1-COUNTIF(H55:INDEX(H55:N55,$B$1),"&gt;0")&lt;=2,1,
IF($B$1-COUNTIF(H55:INDEX(H55:N55,$B$1),"&gt;0")=3,0.8,
IF($B$1-COUNTIF(H55:INDEX(H55:N55,$B$1),"&gt;0")=4,0.6,
IF($B$1-COUNTIF(H55:INDEX(H55:N55,$B$1),"&gt;0")=5,0.4,
IF($B$1-COUNTIF(H55:INDEX(H55:N55,$B$1),"&gt;0")=6,0.2,0))))))</f>
        <v>187</v>
      </c>
      <c r="H55" s="3">
        <v>12</v>
      </c>
      <c r="I55" s="3">
        <v>36</v>
      </c>
      <c r="J55" s="3">
        <v>16</v>
      </c>
      <c r="K55" s="3">
        <v>18</v>
      </c>
      <c r="L55" s="3">
        <v>27</v>
      </c>
      <c r="M55" s="3">
        <v>31</v>
      </c>
      <c r="N55" s="3">
        <v>47</v>
      </c>
      <c r="O55" s="13">
        <f>0.2*IF(COUNTIF(P55:INDEX(P55:V55,$B$1),"&gt;0")=0,0,
(SUMIF(P55:INDEX(P55:V55,$B$1),"&gt;0",P55:INDEX(P55:V55,$B$1))*$B$1/COUNTIF(P55:INDEX(P55:V55,$B$1),"&gt;0"))*
IF($B$1-COUNTIF(P55:INDEX(P55:V55,$B$1),"&gt;0")&lt;=2,1,
IF($B$1-COUNTIF(P55:INDEX(P55:V55,$B$1),"&gt;0")=3,0.8,
IF($B$1-COUNTIF(P55:INDEX(P55:V55,$B$1),"&gt;0")=4,0.6,
IF($B$1-COUNTIF(P55:INDEX(P55:V55,$B$1),"&gt;0")=5,0.4,
IF($B$1-COUNTIF(P55:INDEX(P55:V55,$B$1),"&gt;0")=6,0.2,0))))))</f>
        <v>53.400000000000006</v>
      </c>
      <c r="P55" s="3">
        <v>35</v>
      </c>
      <c r="Q55" s="3">
        <v>34</v>
      </c>
      <c r="R55" s="3">
        <v>38</v>
      </c>
      <c r="S55" s="3">
        <v>38</v>
      </c>
      <c r="T55" s="3">
        <v>43</v>
      </c>
      <c r="U55" s="3">
        <v>38</v>
      </c>
      <c r="V55" s="3">
        <v>41</v>
      </c>
      <c r="W55" s="3">
        <f>MIN(100,
IF($B$1&gt;=1,IFERROR(VALUE(SUBSTITUTE(SUBSTITUTE(TRIM(X55),"A",""),"B","")),0),0)+
IF($B$1&gt;=2,IFERROR(VALUE(SUBSTITUTE(SUBSTITUTE(TRIM(Y55),"A",""),"B","")),0),0)+
IF($B$1&gt;=3,IFERROR(VALUE(SUBSTITUTE(SUBSTITUTE(TRIM(Z55),"A",""),"B","")),0),0)+
IF($B$1&gt;=4,IFERROR(VALUE(SUBSTITUTE(SUBSTITUTE(TRIM(AA55),"A",""),"B","")),0),0)+
IF($B$1&gt;=5,IFERROR(VALUE(SUBSTITUTE(SUBSTITUTE(TRIM(AB55),"A",""),"B","")),0),0)+
IF($B$1&gt;=6,IFERROR(VALUE(SUBSTITUTE(SUBSTITUTE(TRIM(AC55),"A",""),"B","")),0),0)+
IF($B$1&gt;=7,IFERROR(VALUE(SUBSTITUTE(SUBSTITUTE(TRIM(AD55),"A",""),"B","")),0),0)
)</f>
        <v>20</v>
      </c>
      <c r="X55" s="3"/>
      <c r="Y55" s="3"/>
      <c r="Z55" s="3"/>
      <c r="AA55" s="3"/>
      <c r="AB55" s="3"/>
      <c r="AC55" s="3" t="s">
        <v>156</v>
      </c>
      <c r="AD55" s="3"/>
      <c r="AE55" s="13">
        <f>AH55+AK55+AN55+AQ55+AT55+AW55+AZ55+BC55</f>
        <v>30.302458269948023</v>
      </c>
      <c r="AF55" s="13"/>
      <c r="AG55" s="13">
        <f>SQRT(AF55)</f>
        <v>0</v>
      </c>
      <c r="AH55" s="13">
        <f>IF(AG55&gt;0,AG55/AG$99*1000, 0)</f>
        <v>0</v>
      </c>
      <c r="AI55" s="13">
        <v>0.3</v>
      </c>
      <c r="AJ55" s="13">
        <f>SQRT(AI55)</f>
        <v>0.54772255750516607</v>
      </c>
      <c r="AK55" s="13">
        <f>IF(AJ55&gt;0,AJ55/AJ$99*1000, 0)</f>
        <v>16.201102917725795</v>
      </c>
      <c r="AL55" s="13"/>
      <c r="AM55" s="13">
        <f>SQRT(AL55)</f>
        <v>0</v>
      </c>
      <c r="AN55" s="13">
        <f>IF(AM55&gt;0,AM55/AM$99*1000, 0)</f>
        <v>0</v>
      </c>
      <c r="AO55" s="13"/>
      <c r="AP55" s="13">
        <f>SQRT(AO55)</f>
        <v>0</v>
      </c>
      <c r="AQ55" s="13">
        <f>IF(AP55&gt;0,AP55/AP$99*1000, 0)</f>
        <v>0</v>
      </c>
      <c r="AR55" s="13"/>
      <c r="AS55" s="13">
        <f>SQRT(AR55)</f>
        <v>0</v>
      </c>
      <c r="AT55" s="13">
        <f>IF(AS55&gt;0,AS55/AS$99*1000, 0)</f>
        <v>0</v>
      </c>
      <c r="AU55" s="13">
        <v>0.1</v>
      </c>
      <c r="AV55" s="13">
        <f>SQRT(AU55)</f>
        <v>0.31622776601683794</v>
      </c>
      <c r="AW55" s="13">
        <f>IF(AV55&gt;0,AV55/AV$99*1000, 0)</f>
        <v>14.101355352222228</v>
      </c>
      <c r="AX55" s="13"/>
      <c r="AY55" s="13">
        <f>SQRT(AX55)</f>
        <v>0</v>
      </c>
      <c r="AZ55" s="13">
        <f>IF(AY55&gt;0,AY55/AY$99*1000, 0)</f>
        <v>0</v>
      </c>
      <c r="BA55" s="27"/>
      <c r="BB55" s="13">
        <f>SQRT(BA55)</f>
        <v>0</v>
      </c>
      <c r="BC55" s="13">
        <f>IF(BB55&gt;0,BB55/BB$99*1000, 0)</f>
        <v>0</v>
      </c>
      <c r="BD55" s="24">
        <v>0.12</v>
      </c>
      <c r="BE55" s="21">
        <f>SQRT(BD55)</f>
        <v>0.34641016151377546</v>
      </c>
      <c r="BF55" s="13">
        <f>IF(BE55&gt;0, BE55/BE$99*10000, 0)</f>
        <v>89.210170727800701</v>
      </c>
      <c r="BG55" s="27">
        <v>20</v>
      </c>
      <c r="BH55" s="13">
        <f>IF(BG55&gt;0, BG55/BG$99*2000, 0)</f>
        <v>55.632823365785818</v>
      </c>
      <c r="BI55" s="30">
        <v>0</v>
      </c>
      <c r="BJ55" s="30">
        <v>0</v>
      </c>
      <c r="BK55" s="30">
        <f>BJ55+BI55</f>
        <v>0</v>
      </c>
      <c r="BL55" s="3"/>
      <c r="BM55" s="1"/>
      <c r="BN55" s="1"/>
      <c r="BO55" s="1"/>
    </row>
    <row r="56" spans="1:67" s="6" customFormat="1" ht="20.100000000000001" customHeight="1" x14ac:dyDescent="0.25">
      <c r="A56" s="1"/>
      <c r="B56" s="1">
        <v>51</v>
      </c>
      <c r="C56" s="50">
        <v>52</v>
      </c>
      <c r="D56" s="51" t="str">
        <f>IF(C56&lt;B56,"▲"&amp;B56-C56,IF(C56&gt;B56,"▼"&amp;C56-B56,"—"))</f>
        <v>▼1</v>
      </c>
      <c r="E56" s="52" t="s">
        <v>74</v>
      </c>
      <c r="F56" s="53">
        <f>G56+O56+W56+AE56+BF56+BH56+BK56</f>
        <v>430.19612019421709</v>
      </c>
      <c r="G56" s="19">
        <f>IF(COUNTIF(H56:INDEX(H56:N56,$B$1),"&gt;0")=0,0,
SUMIF(H56:INDEX(H56:N56,$B$1),"&gt;0",H56:INDEX(H56:N56,$B$1))*$B$1/COUNTIF(H56:INDEX(H56:N56,$B$1),"&gt;0")*
IF($B$1-COUNTIF(H56:INDEX(H56:N56,$B$1),"&gt;0")&lt;=2,1,
IF($B$1-COUNTIF(H56:INDEX(H56:N56,$B$1),"&gt;0")=3,0.8,
IF($B$1-COUNTIF(H56:INDEX(H56:N56,$B$1),"&gt;0")=4,0.6,
IF($B$1-COUNTIF(H56:INDEX(H56:N56,$B$1),"&gt;0")=5,0.4,
IF($B$1-COUNTIF(H56:INDEX(H56:N56,$B$1),"&gt;0")=6,0.2,0))))))</f>
        <v>264.60000000000002</v>
      </c>
      <c r="H56" s="3">
        <v>-1</v>
      </c>
      <c r="I56" s="3">
        <v>-1</v>
      </c>
      <c r="J56" s="3">
        <v>28</v>
      </c>
      <c r="K56" s="3">
        <v>43</v>
      </c>
      <c r="L56" s="3">
        <v>21</v>
      </c>
      <c r="M56" s="3">
        <v>51</v>
      </c>
      <c r="N56" s="3">
        <v>46</v>
      </c>
      <c r="O56" s="13">
        <f>0.2*IF(COUNTIF(P56:INDEX(P56:V56,$B$1),"&gt;0")=0,0,
(SUMIF(P56:INDEX(P56:V56,$B$1),"&gt;0",P56:INDEX(P56:V56,$B$1))*$B$1/COUNTIF(P56:INDEX(P56:V56,$B$1),"&gt;0"))*
IF($B$1-COUNTIF(P56:INDEX(P56:V56,$B$1),"&gt;0")&lt;=2,1,
IF($B$1-COUNTIF(P56:INDEX(P56:V56,$B$1),"&gt;0")=3,0.8,
IF($B$1-COUNTIF(P56:INDEX(P56:V56,$B$1),"&gt;0")=4,0.6,
IF($B$1-COUNTIF(P56:INDEX(P56:V56,$B$1),"&gt;0")=5,0.4,
IF($B$1-COUNTIF(P56:INDEX(P56:V56,$B$1),"&gt;0")=6,0.2,0))))))</f>
        <v>46.760000000000005</v>
      </c>
      <c r="P56" s="3">
        <v>-1</v>
      </c>
      <c r="Q56" s="3">
        <v>-1</v>
      </c>
      <c r="R56" s="3">
        <v>23</v>
      </c>
      <c r="S56" s="3">
        <v>33</v>
      </c>
      <c r="T56" s="3">
        <v>35</v>
      </c>
      <c r="U56" s="3">
        <v>41</v>
      </c>
      <c r="V56" s="3">
        <v>35</v>
      </c>
      <c r="W56" s="3">
        <f>MIN(100,
IF($B$1&gt;=1,IFERROR(VALUE(SUBSTITUTE(SUBSTITUTE(TRIM(X56),"A",""),"B","")),0),0)+
IF($B$1&gt;=2,IFERROR(VALUE(SUBSTITUTE(SUBSTITUTE(TRIM(Y56),"A",""),"B","")),0),0)+
IF($B$1&gt;=3,IFERROR(VALUE(SUBSTITUTE(SUBSTITUTE(TRIM(Z56),"A",""),"B","")),0),0)+
IF($B$1&gt;=4,IFERROR(VALUE(SUBSTITUTE(SUBSTITUTE(TRIM(AA56),"A",""),"B","")),0),0)+
IF($B$1&gt;=5,IFERROR(VALUE(SUBSTITUTE(SUBSTITUTE(TRIM(AB56),"A",""),"B","")),0),0)+
IF($B$1&gt;=6,IFERROR(VALUE(SUBSTITUTE(SUBSTITUTE(TRIM(AC56),"A",""),"B","")),0),0)+
IF($B$1&gt;=7,IFERROR(VALUE(SUBSTITUTE(SUBSTITUTE(TRIM(AD56),"A",""),"B","")),0),0)
)</f>
        <v>30</v>
      </c>
      <c r="X56" s="3"/>
      <c r="Y56" s="3"/>
      <c r="Z56" s="3" t="s">
        <v>28</v>
      </c>
      <c r="AA56" s="3"/>
      <c r="AB56" s="3"/>
      <c r="AC56" s="3" t="s">
        <v>156</v>
      </c>
      <c r="AD56" s="3"/>
      <c r="AE56" s="13">
        <f>AH56+AK56+AN56+AQ56+AT56+AW56+AZ56+BC56</f>
        <v>38.667752493738135</v>
      </c>
      <c r="AF56" s="13"/>
      <c r="AG56" s="13">
        <f>SQRT(AF56)</f>
        <v>0</v>
      </c>
      <c r="AH56" s="13">
        <f>IF(AG56&gt;0,AG56/AG$99*1000, 0)</f>
        <v>0</v>
      </c>
      <c r="AI56" s="13">
        <v>0.1</v>
      </c>
      <c r="AJ56" s="13">
        <f>SQRT(AI56)</f>
        <v>0.31622776601683794</v>
      </c>
      <c r="AK56" s="13">
        <f>IF(AJ56&gt;0,AJ56/AJ$99*1000, 0)</f>
        <v>9.3537111307178193</v>
      </c>
      <c r="AL56" s="13"/>
      <c r="AM56" s="13">
        <f>SQRT(AL56)</f>
        <v>0</v>
      </c>
      <c r="AN56" s="13">
        <f>IF(AM56&gt;0,AM56/AM$99*1000, 0)</f>
        <v>0</v>
      </c>
      <c r="AO56" s="13"/>
      <c r="AP56" s="13">
        <f>SQRT(AO56)</f>
        <v>0</v>
      </c>
      <c r="AQ56" s="13">
        <f>IF(AP56&gt;0,AP56/AP$99*1000, 0)</f>
        <v>0</v>
      </c>
      <c r="AR56" s="13"/>
      <c r="AS56" s="13">
        <f>SQRT(AR56)</f>
        <v>0</v>
      </c>
      <c r="AT56" s="13">
        <f>IF(AS56&gt;0,AS56/AS$99*1000, 0)</f>
        <v>0</v>
      </c>
      <c r="AU56" s="13"/>
      <c r="AV56" s="13">
        <f>SQRT(AU56)</f>
        <v>0</v>
      </c>
      <c r="AW56" s="13">
        <f>IF(AV56&gt;0,AV56/AV$99*1000, 0)</f>
        <v>0</v>
      </c>
      <c r="AX56" s="13"/>
      <c r="AY56" s="13">
        <f>SQRT(AX56)</f>
        <v>0</v>
      </c>
      <c r="AZ56" s="13">
        <f>IF(AY56&gt;0,AY56/AY$99*1000, 0)</f>
        <v>0</v>
      </c>
      <c r="BA56" s="27">
        <v>160</v>
      </c>
      <c r="BB56" s="13">
        <f>SQRT(BA56)</f>
        <v>12.649110640673518</v>
      </c>
      <c r="BC56" s="13">
        <f>IF(BB56&gt;0,BB56/BB$99*1000, 0)</f>
        <v>29.314041363020319</v>
      </c>
      <c r="BD56" s="24">
        <v>0.03</v>
      </c>
      <c r="BE56" s="21">
        <f>SQRT(BD56)</f>
        <v>0.17320508075688773</v>
      </c>
      <c r="BF56" s="13">
        <f>IF(BE56&gt;0, BE56/BE$99*10000, 0)</f>
        <v>44.605085363900351</v>
      </c>
      <c r="BG56" s="27">
        <v>2</v>
      </c>
      <c r="BH56" s="13">
        <f>IF(BG56&gt;0, BG56/BG$99*2000, 0)</f>
        <v>5.5632823365785811</v>
      </c>
      <c r="BI56" s="30">
        <v>0</v>
      </c>
      <c r="BJ56" s="30">
        <v>0</v>
      </c>
      <c r="BK56" s="30">
        <f>BJ56+BI56</f>
        <v>0</v>
      </c>
      <c r="BL56" s="3"/>
      <c r="BM56" s="1"/>
      <c r="BN56" s="1"/>
      <c r="BO56" s="1"/>
    </row>
    <row r="57" spans="1:67" s="6" customFormat="1" ht="20.100000000000001" customHeight="1" x14ac:dyDescent="0.25">
      <c r="A57" s="1"/>
      <c r="B57" s="1">
        <v>54</v>
      </c>
      <c r="C57" s="50">
        <v>53</v>
      </c>
      <c r="D57" s="51" t="str">
        <f>IF(C57&lt;B57,"▲"&amp;B57-C57,IF(C57&gt;B57,"▼"&amp;C57-B57,"—"))</f>
        <v>▲1</v>
      </c>
      <c r="E57" s="52" t="s">
        <v>76</v>
      </c>
      <c r="F57" s="53">
        <f>G57+O57+W57+AE57+BF57+BH57+BK57</f>
        <v>404.18491759018212</v>
      </c>
      <c r="G57" s="19">
        <f>IF(COUNTIF(H57:INDEX(H57:N57,$B$1),"&gt;0")=0,0,
SUMIF(H57:INDEX(H57:N57,$B$1),"&gt;0",H57:INDEX(H57:N57,$B$1))*$B$1/COUNTIF(H57:INDEX(H57:N57,$B$1),"&gt;0")*
IF($B$1-COUNTIF(H57:INDEX(H57:N57,$B$1),"&gt;0")&lt;=2,1,
IF($B$1-COUNTIF(H57:INDEX(H57:N57,$B$1),"&gt;0")=3,0.8,
IF($B$1-COUNTIF(H57:INDEX(H57:N57,$B$1),"&gt;0")=4,0.6,
IF($B$1-COUNTIF(H57:INDEX(H57:N57,$B$1),"&gt;0")=5,0.4,
IF($B$1-COUNTIF(H57:INDEX(H57:N57,$B$1),"&gt;0")=6,0.2,0))))))</f>
        <v>264</v>
      </c>
      <c r="H57" s="3">
        <v>25</v>
      </c>
      <c r="I57" s="3">
        <v>28</v>
      </c>
      <c r="J57" s="3">
        <v>28</v>
      </c>
      <c r="K57" s="3">
        <v>34</v>
      </c>
      <c r="L57" s="3">
        <v>41</v>
      </c>
      <c r="M57" s="3">
        <v>51</v>
      </c>
      <c r="N57" s="3">
        <v>57</v>
      </c>
      <c r="O57" s="13">
        <f>0.2*IF(COUNTIF(P57:INDEX(P57:V57,$B$1),"&gt;0")=0,0,
(SUMIF(P57:INDEX(P57:V57,$B$1),"&gt;0",P57:INDEX(P57:V57,$B$1))*$B$1/COUNTIF(P57:INDEX(P57:V57,$B$1),"&gt;0"))*
IF($B$1-COUNTIF(P57:INDEX(P57:V57,$B$1),"&gt;0")&lt;=2,1,
IF($B$1-COUNTIF(P57:INDEX(P57:V57,$B$1),"&gt;0")=3,0.8,
IF($B$1-COUNTIF(P57:INDEX(P57:V57,$B$1),"&gt;0")=4,0.6,
IF($B$1-COUNTIF(P57:INDEX(P57:V57,$B$1),"&gt;0")=5,0.4,
IF($B$1-COUNTIF(P57:INDEX(P57:V57,$B$1),"&gt;0")=6,0.2,0))))))</f>
        <v>62.6</v>
      </c>
      <c r="P57" s="3">
        <v>47</v>
      </c>
      <c r="Q57" s="3">
        <v>36</v>
      </c>
      <c r="R57" s="3">
        <v>45</v>
      </c>
      <c r="S57" s="3">
        <v>47</v>
      </c>
      <c r="T57" s="3">
        <v>41</v>
      </c>
      <c r="U57" s="3">
        <v>47</v>
      </c>
      <c r="V57" s="3">
        <v>50</v>
      </c>
      <c r="W57" s="3">
        <f>MIN(100,
IF($B$1&gt;=1,IFERROR(VALUE(SUBSTITUTE(SUBSTITUTE(TRIM(X57),"A",""),"B","")),0),0)+
IF($B$1&gt;=2,IFERROR(VALUE(SUBSTITUTE(SUBSTITUTE(TRIM(Y57),"A",""),"B","")),0),0)+
IF($B$1&gt;=3,IFERROR(VALUE(SUBSTITUTE(SUBSTITUTE(TRIM(Z57),"A",""),"B","")),0),0)+
IF($B$1&gt;=4,IFERROR(VALUE(SUBSTITUTE(SUBSTITUTE(TRIM(AA57),"A",""),"B","")),0),0)+
IF($B$1&gt;=5,IFERROR(VALUE(SUBSTITUTE(SUBSTITUTE(TRIM(AB57),"A",""),"B","")),0),0)+
IF($B$1&gt;=6,IFERROR(VALUE(SUBSTITUTE(SUBSTITUTE(TRIM(AC57),"A",""),"B","")),0),0)+
IF($B$1&gt;=7,IFERROR(VALUE(SUBSTITUTE(SUBSTITUTE(TRIM(AD57),"A",""),"B","")),0),0)
)</f>
        <v>20</v>
      </c>
      <c r="X57" s="3"/>
      <c r="Y57" s="3"/>
      <c r="Z57" s="3"/>
      <c r="AA57" s="3"/>
      <c r="AB57" s="3"/>
      <c r="AC57" s="3" t="s">
        <v>156</v>
      </c>
      <c r="AD57" s="3"/>
      <c r="AE57" s="13">
        <f>AH57+AK57+AN57+AQ57+AT57+AW57+AZ57+BC57</f>
        <v>0</v>
      </c>
      <c r="AF57" s="13"/>
      <c r="AG57" s="13">
        <f>SQRT(AF57)</f>
        <v>0</v>
      </c>
      <c r="AH57" s="13">
        <f>IF(AG57&gt;0,AG57/AG$99*1000, 0)</f>
        <v>0</v>
      </c>
      <c r="AI57" s="13"/>
      <c r="AJ57" s="13">
        <f>SQRT(AI57)</f>
        <v>0</v>
      </c>
      <c r="AK57" s="13">
        <f>IF(AJ57&gt;0,AJ57/AJ$99*1000, 0)</f>
        <v>0</v>
      </c>
      <c r="AL57" s="13"/>
      <c r="AM57" s="13">
        <f>SQRT(AL57)</f>
        <v>0</v>
      </c>
      <c r="AN57" s="13">
        <f>IF(AM57&gt;0,AM57/AM$99*1000, 0)</f>
        <v>0</v>
      </c>
      <c r="AO57" s="13"/>
      <c r="AP57" s="13">
        <f>SQRT(AO57)</f>
        <v>0</v>
      </c>
      <c r="AQ57" s="13">
        <f>IF(AP57&gt;0,AP57/AP$99*1000, 0)</f>
        <v>0</v>
      </c>
      <c r="AR57" s="13"/>
      <c r="AS57" s="13">
        <f>SQRT(AR57)</f>
        <v>0</v>
      </c>
      <c r="AT57" s="13">
        <f>IF(AS57&gt;0,AS57/AS$99*1000, 0)</f>
        <v>0</v>
      </c>
      <c r="AU57" s="13"/>
      <c r="AV57" s="13">
        <f>SQRT(AU57)</f>
        <v>0</v>
      </c>
      <c r="AW57" s="13">
        <f>IF(AV57&gt;0,AV57/AV$99*1000, 0)</f>
        <v>0</v>
      </c>
      <c r="AX57" s="13"/>
      <c r="AY57" s="13">
        <f>SQRT(AX57)</f>
        <v>0</v>
      </c>
      <c r="AZ57" s="13">
        <f>IF(AY57&gt;0,AY57/AY$99*1000, 0)</f>
        <v>0</v>
      </c>
      <c r="BA57" s="27"/>
      <c r="BB57" s="13">
        <f>SQRT(BA57)</f>
        <v>0</v>
      </c>
      <c r="BC57" s="13">
        <f>IF(BB57&gt;0,BB57/BB$99*1000, 0)</f>
        <v>0</v>
      </c>
      <c r="BD57" s="24">
        <v>0.05</v>
      </c>
      <c r="BE57" s="21">
        <f>SQRT(BD57)</f>
        <v>0.22360679774997896</v>
      </c>
      <c r="BF57" s="13">
        <f>IF(BE57&gt;0, BE57/BE$99*10000, 0)</f>
        <v>57.58491759018208</v>
      </c>
      <c r="BG57" s="27"/>
      <c r="BH57" s="13">
        <f>IF(BG57&gt;0, BG57/BG$99*2000, 0)</f>
        <v>0</v>
      </c>
      <c r="BI57" s="30">
        <v>0</v>
      </c>
      <c r="BJ57" s="30">
        <v>0</v>
      </c>
      <c r="BK57" s="30">
        <f>BJ57+BI57</f>
        <v>0</v>
      </c>
      <c r="BL57" s="3"/>
      <c r="BM57" s="1"/>
      <c r="BN57" s="1"/>
      <c r="BO57" s="1"/>
    </row>
    <row r="58" spans="1:67" s="6" customFormat="1" ht="20.100000000000001" customHeight="1" x14ac:dyDescent="0.25">
      <c r="A58" s="1"/>
      <c r="B58" s="1">
        <v>52</v>
      </c>
      <c r="C58" s="50">
        <v>54</v>
      </c>
      <c r="D58" s="51" t="str">
        <f>IF(C58&lt;B58,"▲"&amp;B58-C58,IF(C58&gt;B58,"▼"&amp;C58-B58,"—"))</f>
        <v>▼2</v>
      </c>
      <c r="E58" s="52" t="s">
        <v>75</v>
      </c>
      <c r="F58" s="53">
        <f>G58+O58+W58+AE58+BF58+BH58+BK58</f>
        <v>400.04173843278568</v>
      </c>
      <c r="G58" s="19">
        <f>IF(COUNTIF(H58:INDEX(H58:N58,$B$1),"&gt;0")=0,0,
SUMIF(H58:INDEX(H58:N58,$B$1),"&gt;0",H58:INDEX(H58:N58,$B$1))*$B$1/COUNTIF(H58:INDEX(H58:N58,$B$1),"&gt;0")*
IF($B$1-COUNTIF(H58:INDEX(H58:N58,$B$1),"&gt;0")&lt;=2,1,
IF($B$1-COUNTIF(H58:INDEX(H58:N58,$B$1),"&gt;0")=3,0.8,
IF($B$1-COUNTIF(H58:INDEX(H58:N58,$B$1),"&gt;0")=4,0.6,
IF($B$1-COUNTIF(H58:INDEX(H58:N58,$B$1),"&gt;0")=5,0.4,
IF($B$1-COUNTIF(H58:INDEX(H58:N58,$B$1),"&gt;0")=6,0.2,0))))))</f>
        <v>217</v>
      </c>
      <c r="H58" s="3">
        <v>48</v>
      </c>
      <c r="I58" s="3">
        <v>17</v>
      </c>
      <c r="J58" s="3">
        <v>22</v>
      </c>
      <c r="K58" s="3">
        <v>47</v>
      </c>
      <c r="L58" s="3">
        <v>17</v>
      </c>
      <c r="M58" s="3">
        <v>24</v>
      </c>
      <c r="N58" s="3">
        <v>42</v>
      </c>
      <c r="O58" s="13">
        <f>0.2*IF(COUNTIF(P58:INDEX(P58:V58,$B$1),"&gt;0")=0,0,
(SUMIF(P58:INDEX(P58:V58,$B$1),"&gt;0",P58:INDEX(P58:V58,$B$1))*$B$1/COUNTIF(P58:INDEX(P58:V58,$B$1),"&gt;0"))*
IF($B$1-COUNTIF(P58:INDEX(P58:V58,$B$1),"&gt;0")&lt;=2,1,
IF($B$1-COUNTIF(P58:INDEX(P58:V58,$B$1),"&gt;0")=3,0.8,
IF($B$1-COUNTIF(P58:INDEX(P58:V58,$B$1),"&gt;0")=4,0.6,
IF($B$1-COUNTIF(P58:INDEX(P58:V58,$B$1),"&gt;0")=5,0.4,
IF($B$1-COUNTIF(P58:INDEX(P58:V58,$B$1),"&gt;0")=6,0.2,0))))))</f>
        <v>48.6</v>
      </c>
      <c r="P58" s="3">
        <v>38</v>
      </c>
      <c r="Q58" s="3">
        <v>32</v>
      </c>
      <c r="R58" s="3">
        <v>32</v>
      </c>
      <c r="S58" s="3">
        <v>40</v>
      </c>
      <c r="T58" s="3">
        <v>30</v>
      </c>
      <c r="U58" s="3">
        <v>38</v>
      </c>
      <c r="V58" s="3">
        <v>33</v>
      </c>
      <c r="W58" s="3">
        <f>MIN(100,
IF($B$1&gt;=1,IFERROR(VALUE(SUBSTITUTE(SUBSTITUTE(TRIM(X58),"A",""),"B","")),0),0)+
IF($B$1&gt;=2,IFERROR(VALUE(SUBSTITUTE(SUBSTITUTE(TRIM(Y58),"A",""),"B","")),0),0)+
IF($B$1&gt;=3,IFERROR(VALUE(SUBSTITUTE(SUBSTITUTE(TRIM(Z58),"A",""),"B","")),0),0)+
IF($B$1&gt;=4,IFERROR(VALUE(SUBSTITUTE(SUBSTITUTE(TRIM(AA58),"A",""),"B","")),0),0)+
IF($B$1&gt;=5,IFERROR(VALUE(SUBSTITUTE(SUBSTITUTE(TRIM(AB58),"A",""),"B","")),0),0)+
IF($B$1&gt;=6,IFERROR(VALUE(SUBSTITUTE(SUBSTITUTE(TRIM(AC58),"A",""),"B","")),0),0)+
IF($B$1&gt;=7,IFERROR(VALUE(SUBSTITUTE(SUBSTITUTE(TRIM(AD58),"A",""),"B","")),0),0)
)</f>
        <v>20</v>
      </c>
      <c r="X58" s="3"/>
      <c r="Y58" s="3"/>
      <c r="Z58" s="3"/>
      <c r="AA58" s="3"/>
      <c r="AB58" s="3"/>
      <c r="AC58" s="3" t="s">
        <v>156</v>
      </c>
      <c r="AD58" s="3"/>
      <c r="AE58" s="13">
        <f>AH58+AK58+AN58+AQ58+AT58+AW58+AZ58+BC58</f>
        <v>5.1820393579436521</v>
      </c>
      <c r="AF58" s="13"/>
      <c r="AG58" s="13">
        <f>SQRT(AF58)</f>
        <v>0</v>
      </c>
      <c r="AH58" s="13">
        <f>IF(AG58&gt;0,AG58/AG$99*1000, 0)</f>
        <v>0</v>
      </c>
      <c r="AI58" s="13"/>
      <c r="AJ58" s="13">
        <f>SQRT(AI58)</f>
        <v>0</v>
      </c>
      <c r="AK58" s="13">
        <f>IF(AJ58&gt;0,AJ58/AJ$99*1000, 0)</f>
        <v>0</v>
      </c>
      <c r="AL58" s="13"/>
      <c r="AM58" s="13">
        <f>SQRT(AL58)</f>
        <v>0</v>
      </c>
      <c r="AN58" s="13">
        <f>IF(AM58&gt;0,AM58/AM$99*1000, 0)</f>
        <v>0</v>
      </c>
      <c r="AO58" s="13"/>
      <c r="AP58" s="13">
        <f>SQRT(AO58)</f>
        <v>0</v>
      </c>
      <c r="AQ58" s="13">
        <f>IF(AP58&gt;0,AP58/AP$99*1000, 0)</f>
        <v>0</v>
      </c>
      <c r="AR58" s="13"/>
      <c r="AS58" s="13">
        <f>SQRT(AR58)</f>
        <v>0</v>
      </c>
      <c r="AT58" s="13">
        <f>IF(AS58&gt;0,AS58/AS$99*1000, 0)</f>
        <v>0</v>
      </c>
      <c r="AU58" s="13"/>
      <c r="AV58" s="13">
        <f>SQRT(AU58)</f>
        <v>0</v>
      </c>
      <c r="AW58" s="13">
        <f>IF(AV58&gt;0,AV58/AV$99*1000, 0)</f>
        <v>0</v>
      </c>
      <c r="AX58" s="13"/>
      <c r="AY58" s="13">
        <f>SQRT(AX58)</f>
        <v>0</v>
      </c>
      <c r="AZ58" s="13">
        <f>IF(AY58&gt;0,AY58/AY$99*1000, 0)</f>
        <v>0</v>
      </c>
      <c r="BA58" s="27">
        <v>5</v>
      </c>
      <c r="BB58" s="13">
        <f>SQRT(BA58)</f>
        <v>2.2360679774997898</v>
      </c>
      <c r="BC58" s="13">
        <f>IF(BB58&gt;0,BB58/BB$99*1000, 0)</f>
        <v>5.1820393579436521</v>
      </c>
      <c r="BD58" s="24">
        <v>0.18</v>
      </c>
      <c r="BE58" s="21">
        <f>SQRT(BD58)</f>
        <v>0.42426406871192851</v>
      </c>
      <c r="BF58" s="13">
        <f>IF(BE58&gt;0, BE58/BE$99*10000, 0)</f>
        <v>109.25969907484196</v>
      </c>
      <c r="BG58" s="27"/>
      <c r="BH58" s="13">
        <f>IF(BG58&gt;0, BG58/BG$99*2000, 0)</f>
        <v>0</v>
      </c>
      <c r="BI58" s="30">
        <v>0</v>
      </c>
      <c r="BJ58" s="30">
        <v>0</v>
      </c>
      <c r="BK58" s="30">
        <f>BJ58+BI58</f>
        <v>0</v>
      </c>
      <c r="BL58" s="3"/>
      <c r="BM58" s="1"/>
      <c r="BN58" s="1"/>
      <c r="BO58" s="1"/>
    </row>
    <row r="59" spans="1:67" s="6" customFormat="1" ht="20.100000000000001" customHeight="1" x14ac:dyDescent="0.25">
      <c r="A59" s="1"/>
      <c r="B59" s="1">
        <v>55</v>
      </c>
      <c r="C59" s="50">
        <v>55</v>
      </c>
      <c r="D59" s="51" t="str">
        <f>IF(C59&lt;B59,"▲"&amp;B59-C59,IF(C59&gt;B59,"▼"&amp;C59-B59,"—"))</f>
        <v>—</v>
      </c>
      <c r="E59" s="52" t="s">
        <v>66</v>
      </c>
      <c r="F59" s="53">
        <f>G59+O59+W59+AE59+BF59+BH59+BK59</f>
        <v>398.61278662529327</v>
      </c>
      <c r="G59" s="19">
        <f>IF(COUNTIF(H59:INDEX(H59:N59,$B$1),"&gt;0")=0,0,
SUMIF(H59:INDEX(H59:N59,$B$1),"&gt;0",H59:INDEX(H59:N59,$B$1))*$B$1/COUNTIF(H59:INDEX(H59:N59,$B$1),"&gt;0")*
IF($B$1-COUNTIF(H59:INDEX(H59:N59,$B$1),"&gt;0")&lt;=2,1,
IF($B$1-COUNTIF(H59:INDEX(H59:N59,$B$1),"&gt;0")=3,0.8,
IF($B$1-COUNTIF(H59:INDEX(H59:N59,$B$1),"&gt;0")=4,0.6,
IF($B$1-COUNTIF(H59:INDEX(H59:N59,$B$1),"&gt;0")=5,0.4,
IF($B$1-COUNTIF(H59:INDEX(H59:N59,$B$1),"&gt;0")=6,0.2,0))))))</f>
        <v>267</v>
      </c>
      <c r="H59" s="3">
        <v>37</v>
      </c>
      <c r="I59" s="3">
        <v>34</v>
      </c>
      <c r="J59" s="3">
        <v>51</v>
      </c>
      <c r="K59" s="3">
        <v>41</v>
      </c>
      <c r="L59" s="3">
        <v>32</v>
      </c>
      <c r="M59" s="3">
        <v>38</v>
      </c>
      <c r="N59" s="3">
        <v>34</v>
      </c>
      <c r="O59" s="13">
        <f>0.2*IF(COUNTIF(P59:INDEX(P59:V59,$B$1),"&gt;0")=0,0,
(SUMIF(P59:INDEX(P59:V59,$B$1),"&gt;0",P59:INDEX(P59:V59,$B$1))*$B$1/COUNTIF(P59:INDEX(P59:V59,$B$1),"&gt;0"))*
IF($B$1-COUNTIF(P59:INDEX(P59:V59,$B$1),"&gt;0")&lt;=2,1,
IF($B$1-COUNTIF(P59:INDEX(P59:V59,$B$1),"&gt;0")=3,0.8,
IF($B$1-COUNTIF(P59:INDEX(P59:V59,$B$1),"&gt;0")=4,0.6,
IF($B$1-COUNTIF(P59:INDEX(P59:V59,$B$1),"&gt;0")=5,0.4,
IF($B$1-COUNTIF(P59:INDEX(P59:V59,$B$1),"&gt;0")=6,0.2,0))))))</f>
        <v>46.800000000000004</v>
      </c>
      <c r="P59" s="3">
        <v>35</v>
      </c>
      <c r="Q59" s="3">
        <v>30</v>
      </c>
      <c r="R59" s="3">
        <v>33</v>
      </c>
      <c r="S59" s="3">
        <v>36</v>
      </c>
      <c r="T59" s="3">
        <v>25</v>
      </c>
      <c r="U59" s="3">
        <v>35</v>
      </c>
      <c r="V59" s="3">
        <v>40</v>
      </c>
      <c r="W59" s="3">
        <f>MIN(100,
IF($B$1&gt;=1,IFERROR(VALUE(SUBSTITUTE(SUBSTITUTE(TRIM(X59),"A",""),"B","")),0),0)+
IF($B$1&gt;=2,IFERROR(VALUE(SUBSTITUTE(SUBSTITUTE(TRIM(Y59),"A",""),"B","")),0),0)+
IF($B$1&gt;=3,IFERROR(VALUE(SUBSTITUTE(SUBSTITUTE(TRIM(Z59),"A",""),"B","")),0),0)+
IF($B$1&gt;=4,IFERROR(VALUE(SUBSTITUTE(SUBSTITUTE(TRIM(AA59),"A",""),"B","")),0),0)+
IF($B$1&gt;=5,IFERROR(VALUE(SUBSTITUTE(SUBSTITUTE(TRIM(AB59),"A",""),"B","")),0),0)+
IF($B$1&gt;=6,IFERROR(VALUE(SUBSTITUTE(SUBSTITUTE(TRIM(AC59),"A",""),"B","")),0),0)+
IF($B$1&gt;=7,IFERROR(VALUE(SUBSTITUTE(SUBSTITUTE(TRIM(AD59),"A",""),"B","")),0),0)
)</f>
        <v>20</v>
      </c>
      <c r="X59" s="3"/>
      <c r="Y59" s="3"/>
      <c r="Z59" s="3"/>
      <c r="AA59" s="3"/>
      <c r="AB59" s="3"/>
      <c r="AC59" s="3" t="s">
        <v>156</v>
      </c>
      <c r="AD59" s="3"/>
      <c r="AE59" s="13">
        <f>AH59+AK59+AN59+AQ59+AT59+AW59+AZ59+BC59</f>
        <v>24.424263925632218</v>
      </c>
      <c r="AF59" s="13"/>
      <c r="AG59" s="13">
        <f>SQRT(AF59)</f>
        <v>0</v>
      </c>
      <c r="AH59" s="13">
        <f>IF(AG59&gt;0,AG59/AG$99*1000, 0)</f>
        <v>0</v>
      </c>
      <c r="AI59" s="13"/>
      <c r="AJ59" s="13">
        <f>SQRT(AI59)</f>
        <v>0</v>
      </c>
      <c r="AK59" s="13">
        <f>IF(AJ59&gt;0,AJ59/AJ$99*1000, 0)</f>
        <v>0</v>
      </c>
      <c r="AL59" s="13"/>
      <c r="AM59" s="13">
        <f>SQRT(AL59)</f>
        <v>0</v>
      </c>
      <c r="AN59" s="13">
        <f>IF(AM59&gt;0,AM59/AM$99*1000, 0)</f>
        <v>0</v>
      </c>
      <c r="AO59" s="13"/>
      <c r="AP59" s="13">
        <f>SQRT(AO59)</f>
        <v>0</v>
      </c>
      <c r="AQ59" s="13">
        <f>IF(AP59&gt;0,AP59/AP$99*1000, 0)</f>
        <v>0</v>
      </c>
      <c r="AR59" s="13"/>
      <c r="AS59" s="13">
        <f>SQRT(AR59)</f>
        <v>0</v>
      </c>
      <c r="AT59" s="13">
        <f>IF(AS59&gt;0,AS59/AS$99*1000, 0)</f>
        <v>0</v>
      </c>
      <c r="AU59" s="13">
        <v>0.3</v>
      </c>
      <c r="AV59" s="13">
        <f>SQRT(AU59)</f>
        <v>0.54772255750516607</v>
      </c>
      <c r="AW59" s="13">
        <f>IF(AV59&gt;0,AV59/AV$99*1000, 0)</f>
        <v>24.424263925632218</v>
      </c>
      <c r="AX59" s="13"/>
      <c r="AY59" s="13">
        <f>SQRT(AX59)</f>
        <v>0</v>
      </c>
      <c r="AZ59" s="13">
        <f>IF(AY59&gt;0,AY59/AY$99*1000, 0)</f>
        <v>0</v>
      </c>
      <c r="BA59" s="27"/>
      <c r="BB59" s="13">
        <f>SQRT(BA59)</f>
        <v>0</v>
      </c>
      <c r="BC59" s="13">
        <f>IF(BB59&gt;0,BB59/BB$99*1000, 0)</f>
        <v>0</v>
      </c>
      <c r="BD59" s="24">
        <v>7.0000000000000007E-2</v>
      </c>
      <c r="BE59" s="21">
        <f>SQRT(BD59)</f>
        <v>0.26457513110645908</v>
      </c>
      <c r="BF59" s="13">
        <f>IF(BE59&gt;0, BE59/BE$99*10000, 0)</f>
        <v>68.135393353346743</v>
      </c>
      <c r="BG59" s="27">
        <v>8</v>
      </c>
      <c r="BH59" s="13">
        <f>IF(BG59&gt;0, BG59/BG$99*2000, 0)</f>
        <v>22.253129346314324</v>
      </c>
      <c r="BI59" s="30">
        <v>-50</v>
      </c>
      <c r="BJ59" s="30">
        <v>0</v>
      </c>
      <c r="BK59" s="30">
        <f>BJ59+BI59</f>
        <v>-50</v>
      </c>
      <c r="BL59" s="3"/>
      <c r="BM59" s="1"/>
      <c r="BN59" s="1"/>
      <c r="BO59" s="1"/>
    </row>
    <row r="60" spans="1:67" s="6" customFormat="1" ht="19.5" customHeight="1" x14ac:dyDescent="0.25">
      <c r="A60" s="1"/>
      <c r="B60" s="1">
        <v>58</v>
      </c>
      <c r="C60" s="50">
        <v>56</v>
      </c>
      <c r="D60" s="51" t="str">
        <f>IF(C60&lt;B60,"▲"&amp;B60-C60,IF(C60&gt;B60,"▼"&amp;C60-B60,"—"))</f>
        <v>▲2</v>
      </c>
      <c r="E60" s="52" t="s">
        <v>42</v>
      </c>
      <c r="F60" s="53">
        <f>G60+O60+W60+AE60+BF60+BH60+BK60</f>
        <v>386.58804126095458</v>
      </c>
      <c r="G60" s="19">
        <f>IF(COUNTIF(H60:INDEX(H60:N60,$B$1),"&gt;0")=0,0,
SUMIF(H60:INDEX(H60:N60,$B$1),"&gt;0",H60:INDEX(H60:N60,$B$1))*$B$1/COUNTIF(H60:INDEX(H60:N60,$B$1),"&gt;0")*
IF($B$1-COUNTIF(H60:INDEX(H60:N60,$B$1),"&gt;0")&lt;=2,1,
IF($B$1-COUNTIF(H60:INDEX(H60:N60,$B$1),"&gt;0")=3,0.8,
IF($B$1-COUNTIF(H60:INDEX(H60:N60,$B$1),"&gt;0")=4,0.6,
IF($B$1-COUNTIF(H60:INDEX(H60:N60,$B$1),"&gt;0")=5,0.4,
IF($B$1-COUNTIF(H60:INDEX(H60:N60,$B$1),"&gt;0")=6,0.2,0))))))</f>
        <v>481</v>
      </c>
      <c r="H60" s="3">
        <v>65</v>
      </c>
      <c r="I60" s="3">
        <v>58</v>
      </c>
      <c r="J60" s="3">
        <v>60</v>
      </c>
      <c r="K60" s="3">
        <v>94</v>
      </c>
      <c r="L60" s="3">
        <v>50</v>
      </c>
      <c r="M60" s="3">
        <v>56</v>
      </c>
      <c r="N60" s="3">
        <v>98</v>
      </c>
      <c r="O60" s="13">
        <f>0.2*IF(COUNTIF(P60:INDEX(P60:V60,$B$1),"&gt;0")=0,0,
(SUMIF(P60:INDEX(P60:V60,$B$1),"&gt;0",P60:INDEX(P60:V60,$B$1))*$B$1/COUNTIF(P60:INDEX(P60:V60,$B$1),"&gt;0"))*
IF($B$1-COUNTIF(P60:INDEX(P60:V60,$B$1),"&gt;0")&lt;=2,1,
IF($B$1-COUNTIF(P60:INDEX(P60:V60,$B$1),"&gt;0")=3,0.8,
IF($B$1-COUNTIF(P60:INDEX(P60:V60,$B$1),"&gt;0")=4,0.6,
IF($B$1-COUNTIF(P60:INDEX(P60:V60,$B$1),"&gt;0")=5,0.4,
IF($B$1-COUNTIF(P60:INDEX(P60:V60,$B$1),"&gt;0")=6,0.2,0))))))</f>
        <v>60.433333333333337</v>
      </c>
      <c r="P60" s="3">
        <v>50</v>
      </c>
      <c r="Q60" s="3">
        <v>32</v>
      </c>
      <c r="R60" s="3">
        <v>46</v>
      </c>
      <c r="S60" s="3">
        <v>48</v>
      </c>
      <c r="T60" s="3">
        <v>45</v>
      </c>
      <c r="U60" s="3">
        <v>-1</v>
      </c>
      <c r="V60" s="3">
        <v>38</v>
      </c>
      <c r="W60" s="3">
        <f>MIN(100,
IF($B$1&gt;=1,IFERROR(VALUE(SUBSTITUTE(SUBSTITUTE(TRIM(X60),"A",""),"B","")),0),0)+
IF($B$1&gt;=2,IFERROR(VALUE(SUBSTITUTE(SUBSTITUTE(TRIM(Y60),"A",""),"B","")),0),0)+
IF($B$1&gt;=3,IFERROR(VALUE(SUBSTITUTE(SUBSTITUTE(TRIM(Z60),"A",""),"B","")),0),0)+
IF($B$1&gt;=4,IFERROR(VALUE(SUBSTITUTE(SUBSTITUTE(TRIM(AA60),"A",""),"B","")),0),0)+
IF($B$1&gt;=5,IFERROR(VALUE(SUBSTITUTE(SUBSTITUTE(TRIM(AB60),"A",""),"B","")),0),0)+
IF($B$1&gt;=6,IFERROR(VALUE(SUBSTITUTE(SUBSTITUTE(TRIM(AC60),"A",""),"B","")),0),0)+
IF($B$1&gt;=7,IFERROR(VALUE(SUBSTITUTE(SUBSTITUTE(TRIM(AD60),"A",""),"B","")),0),0)
)</f>
        <v>40</v>
      </c>
      <c r="X60" s="3"/>
      <c r="Y60" s="3"/>
      <c r="Z60" s="3" t="s">
        <v>14</v>
      </c>
      <c r="AA60" s="3"/>
      <c r="AB60" s="3"/>
      <c r="AC60" s="3" t="s">
        <v>156</v>
      </c>
      <c r="AD60" s="3"/>
      <c r="AE60" s="13">
        <f>AH60+AK60+AN60+AQ60+AT60+AW60+AZ60+BC60</f>
        <v>15.372412978580757</v>
      </c>
      <c r="AF60" s="13"/>
      <c r="AG60" s="13">
        <f>SQRT(AF60)</f>
        <v>0</v>
      </c>
      <c r="AH60" s="13">
        <f>IF(AG60&gt;0,AG60/AG$99*1000, 0)</f>
        <v>0</v>
      </c>
      <c r="AI60" s="13"/>
      <c r="AJ60" s="13">
        <f>SQRT(AI60)</f>
        <v>0</v>
      </c>
      <c r="AK60" s="13">
        <f>IF(AJ60&gt;0,AJ60/AJ$99*1000, 0)</f>
        <v>0</v>
      </c>
      <c r="AL60" s="13"/>
      <c r="AM60" s="13">
        <f>SQRT(AL60)</f>
        <v>0</v>
      </c>
      <c r="AN60" s="13">
        <f>IF(AM60&gt;0,AM60/AM$99*1000, 0)</f>
        <v>0</v>
      </c>
      <c r="AO60" s="13"/>
      <c r="AP60" s="13">
        <f>SQRT(AO60)</f>
        <v>0</v>
      </c>
      <c r="AQ60" s="13">
        <f>IF(AP60&gt;0,AP60/AP$99*1000, 0)</f>
        <v>0</v>
      </c>
      <c r="AR60" s="13"/>
      <c r="AS60" s="13">
        <f>SQRT(AR60)</f>
        <v>0</v>
      </c>
      <c r="AT60" s="13">
        <f>IF(AS60&gt;0,AS60/AS$99*1000, 0)</f>
        <v>0</v>
      </c>
      <c r="AU60" s="13"/>
      <c r="AV60" s="13">
        <f>SQRT(AU60)</f>
        <v>0</v>
      </c>
      <c r="AW60" s="13">
        <f>IF(AV60&gt;0,AV60/AV$99*1000, 0)</f>
        <v>0</v>
      </c>
      <c r="AX60" s="13"/>
      <c r="AY60" s="13">
        <f>SQRT(AX60)</f>
        <v>0</v>
      </c>
      <c r="AZ60" s="13">
        <f>IF(AY60&gt;0,AY60/AY$99*1000, 0)</f>
        <v>0</v>
      </c>
      <c r="BA60" s="27">
        <v>44</v>
      </c>
      <c r="BB60" s="13">
        <f>SQRT(BA60)</f>
        <v>6.6332495807107996</v>
      </c>
      <c r="BC60" s="13">
        <f>IF(BB60&gt;0,BB60/BB$99*1000, 0)</f>
        <v>15.372412978580757</v>
      </c>
      <c r="BD60" s="24">
        <v>0.1</v>
      </c>
      <c r="BE60" s="21">
        <f>SQRT(BD60)</f>
        <v>0.31622776601683794</v>
      </c>
      <c r="BF60" s="13">
        <f>IF(BE60&gt;0, BE60/BE$99*10000, 0)</f>
        <v>81.437371444172513</v>
      </c>
      <c r="BG60" s="27">
        <v>3</v>
      </c>
      <c r="BH60" s="13">
        <f>IF(BG60&gt;0, BG60/BG$99*2000, 0)</f>
        <v>8.3449235048678716</v>
      </c>
      <c r="BI60" s="30">
        <v>0</v>
      </c>
      <c r="BJ60" s="30">
        <v>-300</v>
      </c>
      <c r="BK60" s="30">
        <f>BJ60+BI60</f>
        <v>-300</v>
      </c>
      <c r="BL60" s="3"/>
      <c r="BM60" s="1"/>
      <c r="BN60" s="1"/>
      <c r="BO60" s="1"/>
    </row>
    <row r="61" spans="1:67" s="6" customFormat="1" ht="20.100000000000001" customHeight="1" x14ac:dyDescent="0.25">
      <c r="A61" s="1"/>
      <c r="B61" s="1">
        <v>53</v>
      </c>
      <c r="C61" s="50">
        <v>57</v>
      </c>
      <c r="D61" s="51" t="str">
        <f>IF(C61&lt;B61,"▲"&amp;B61-C61,IF(C61&gt;B61,"▼"&amp;C61-B61,"—"))</f>
        <v>▼4</v>
      </c>
      <c r="E61" s="52" t="s">
        <v>88</v>
      </c>
      <c r="F61" s="53">
        <f>G61+O61+W61+AE61+BF61+BH61+BK61</f>
        <v>368.00264853395788</v>
      </c>
      <c r="G61" s="19">
        <f>IF(COUNTIF(H61:INDEX(H61:N61,$B$1),"&gt;0")=0,0,
SUMIF(H61:INDEX(H61:N61,$B$1),"&gt;0",H61:INDEX(H61:N61,$B$1))*$B$1/COUNTIF(H61:INDEX(H61:N61,$B$1),"&gt;0")*
IF($B$1-COUNTIF(H61:INDEX(H61:N61,$B$1),"&gt;0")&lt;=2,1,
IF($B$1-COUNTIF(H61:INDEX(H61:N61,$B$1),"&gt;0")=3,0.8,
IF($B$1-COUNTIF(H61:INDEX(H61:N61,$B$1),"&gt;0")=4,0.6,
IF($B$1-COUNTIF(H61:INDEX(H61:N61,$B$1),"&gt;0")=5,0.4,
IF($B$1-COUNTIF(H61:INDEX(H61:N61,$B$1),"&gt;0")=6,0.2,0))))))</f>
        <v>71</v>
      </c>
      <c r="H61" s="3">
        <v>14</v>
      </c>
      <c r="I61" s="3">
        <v>12</v>
      </c>
      <c r="J61" s="3">
        <v>10</v>
      </c>
      <c r="K61" s="3">
        <v>9</v>
      </c>
      <c r="L61" s="3">
        <v>9</v>
      </c>
      <c r="M61" s="3">
        <v>10</v>
      </c>
      <c r="N61" s="3">
        <v>7</v>
      </c>
      <c r="O61" s="13">
        <f>0.2*IF(COUNTIF(P61:INDEX(P61:V61,$B$1),"&gt;0")=0,0,
(SUMIF(P61:INDEX(P61:V61,$B$1),"&gt;0",P61:INDEX(P61:V61,$B$1))*$B$1/COUNTIF(P61:INDEX(P61:V61,$B$1),"&gt;0"))*
IF($B$1-COUNTIF(P61:INDEX(P61:V61,$B$1),"&gt;0")&lt;=2,1,
IF($B$1-COUNTIF(P61:INDEX(P61:V61,$B$1),"&gt;0")=3,0.8,
IF($B$1-COUNTIF(P61:INDEX(P61:V61,$B$1),"&gt;0")=4,0.6,
IF($B$1-COUNTIF(P61:INDEX(P61:V61,$B$1),"&gt;0")=5,0.4,
IF($B$1-COUNTIF(P61:INDEX(P61:V61,$B$1),"&gt;0")=6,0.2,0))))))</f>
        <v>74.400000000000006</v>
      </c>
      <c r="P61" s="3">
        <v>56</v>
      </c>
      <c r="Q61" s="3">
        <v>50</v>
      </c>
      <c r="R61" s="3">
        <v>53</v>
      </c>
      <c r="S61" s="3">
        <v>56</v>
      </c>
      <c r="T61" s="3">
        <v>55</v>
      </c>
      <c r="U61" s="3">
        <v>57</v>
      </c>
      <c r="V61" s="3">
        <v>45</v>
      </c>
      <c r="W61" s="3">
        <f>MIN(100,
IF($B$1&gt;=1,IFERROR(VALUE(SUBSTITUTE(SUBSTITUTE(TRIM(X61),"A",""),"B","")),0),0)+
IF($B$1&gt;=2,IFERROR(VALUE(SUBSTITUTE(SUBSTITUTE(TRIM(Y61),"A",""),"B","")),0),0)+
IF($B$1&gt;=3,IFERROR(VALUE(SUBSTITUTE(SUBSTITUTE(TRIM(Z61),"A",""),"B","")),0),0)+
IF($B$1&gt;=4,IFERROR(VALUE(SUBSTITUTE(SUBSTITUTE(TRIM(AA61),"A",""),"B","")),0),0)+
IF($B$1&gt;=5,IFERROR(VALUE(SUBSTITUTE(SUBSTITUTE(TRIM(AB61),"A",""),"B","")),0),0)+
IF($B$1&gt;=6,IFERROR(VALUE(SUBSTITUTE(SUBSTITUTE(TRIM(AC61),"A",""),"B","")),0),0)+
IF($B$1&gt;=7,IFERROR(VALUE(SUBSTITUTE(SUBSTITUTE(TRIM(AD61),"A",""),"B","")),0),0)
)</f>
        <v>20</v>
      </c>
      <c r="X61" s="3"/>
      <c r="Y61" s="3"/>
      <c r="Z61" s="3"/>
      <c r="AA61" s="3"/>
      <c r="AB61" s="3"/>
      <c r="AC61" s="3" t="s">
        <v>156</v>
      </c>
      <c r="AD61" s="3"/>
      <c r="AE61" s="13">
        <f>AH61+AK61+AN61+AQ61+AT61+AW61+AZ61+BC61</f>
        <v>23.455066482940047</v>
      </c>
      <c r="AF61" s="13"/>
      <c r="AG61" s="13">
        <f>SQRT(AF61)</f>
        <v>0</v>
      </c>
      <c r="AH61" s="13">
        <f>IF(AG61&gt;0,AG61/AG$99*1000, 0)</f>
        <v>0</v>
      </c>
      <c r="AI61" s="13">
        <v>0.1</v>
      </c>
      <c r="AJ61" s="13">
        <f>SQRT(AI61)</f>
        <v>0.31622776601683794</v>
      </c>
      <c r="AK61" s="13">
        <f>IF(AJ61&gt;0,AJ61/AJ$99*1000, 0)</f>
        <v>9.3537111307178193</v>
      </c>
      <c r="AL61" s="13"/>
      <c r="AM61" s="13">
        <f>SQRT(AL61)</f>
        <v>0</v>
      </c>
      <c r="AN61" s="13">
        <f>IF(AM61&gt;0,AM61/AM$99*1000, 0)</f>
        <v>0</v>
      </c>
      <c r="AO61" s="13"/>
      <c r="AP61" s="13">
        <f>SQRT(AO61)</f>
        <v>0</v>
      </c>
      <c r="AQ61" s="13">
        <f>IF(AP61&gt;0,AP61/AP$99*1000, 0)</f>
        <v>0</v>
      </c>
      <c r="AR61" s="13"/>
      <c r="AS61" s="13">
        <f>SQRT(AR61)</f>
        <v>0</v>
      </c>
      <c r="AT61" s="13">
        <f>IF(AS61&gt;0,AS61/AS$99*1000, 0)</f>
        <v>0</v>
      </c>
      <c r="AU61" s="13">
        <v>0.1</v>
      </c>
      <c r="AV61" s="13">
        <f>SQRT(AU61)</f>
        <v>0.31622776601683794</v>
      </c>
      <c r="AW61" s="13">
        <f>IF(AV61&gt;0,AV61/AV$99*1000, 0)</f>
        <v>14.101355352222228</v>
      </c>
      <c r="AX61" s="13"/>
      <c r="AY61" s="13">
        <f>SQRT(AX61)</f>
        <v>0</v>
      </c>
      <c r="AZ61" s="13">
        <f>IF(AY61&gt;0,AY61/AY$99*1000, 0)</f>
        <v>0</v>
      </c>
      <c r="BA61" s="27"/>
      <c r="BB61" s="13">
        <f>SQRT(BA61)</f>
        <v>0</v>
      </c>
      <c r="BC61" s="13">
        <f>IF(BB61&gt;0,BB61/BB$99*1000, 0)</f>
        <v>0</v>
      </c>
      <c r="BD61" s="24">
        <v>0.2</v>
      </c>
      <c r="BE61" s="21">
        <f>SQRT(BD61)</f>
        <v>0.44721359549995793</v>
      </c>
      <c r="BF61" s="13">
        <f>IF(BE61&gt;0, BE61/BE$99*10000, 0)</f>
        <v>115.16983518036416</v>
      </c>
      <c r="BG61" s="27">
        <v>23</v>
      </c>
      <c r="BH61" s="13">
        <f>IF(BG61&gt;0, BG61/BG$99*2000, 0)</f>
        <v>63.977746870653689</v>
      </c>
      <c r="BI61" s="30">
        <v>0</v>
      </c>
      <c r="BJ61" s="30">
        <v>0</v>
      </c>
      <c r="BK61" s="30">
        <f>BJ61+BI61</f>
        <v>0</v>
      </c>
      <c r="BL61" s="3"/>
      <c r="BM61" s="1"/>
      <c r="BN61" s="1"/>
      <c r="BO61" s="1"/>
    </row>
    <row r="62" spans="1:67" s="6" customFormat="1" ht="20.100000000000001" customHeight="1" x14ac:dyDescent="0.25">
      <c r="A62" s="1"/>
      <c r="B62" s="1">
        <v>57</v>
      </c>
      <c r="C62" s="50">
        <v>58</v>
      </c>
      <c r="D62" s="51" t="str">
        <f>IF(C62&lt;B62,"▲"&amp;B62-C62,IF(C62&gt;B62,"▼"&amp;C62-B62,"—"))</f>
        <v>▼1</v>
      </c>
      <c r="E62" s="52" t="s">
        <v>61</v>
      </c>
      <c r="F62" s="53">
        <f>G62+O62+W62+AE62+BF62+BH62+BK62</f>
        <v>346.87805085046767</v>
      </c>
      <c r="G62" s="19">
        <f>IF(COUNTIF(H62:INDEX(H62:N62,$B$1),"&gt;0")=0,0,
SUMIF(H62:INDEX(H62:N62,$B$1),"&gt;0",H62:INDEX(H62:N62,$B$1))*$B$1/COUNTIF(H62:INDEX(H62:N62,$B$1),"&gt;0")*
IF($B$1-COUNTIF(H62:INDEX(H62:N62,$B$1),"&gt;0")&lt;=2,1,
IF($B$1-COUNTIF(H62:INDEX(H62:N62,$B$1),"&gt;0")=3,0.8,
IF($B$1-COUNTIF(H62:INDEX(H62:N62,$B$1),"&gt;0")=4,0.6,
IF($B$1-COUNTIF(H62:INDEX(H62:N62,$B$1),"&gt;0")=5,0.4,
IF($B$1-COUNTIF(H62:INDEX(H62:N62,$B$1),"&gt;0")=6,0.2,0))))))</f>
        <v>291</v>
      </c>
      <c r="H62" s="3">
        <v>41</v>
      </c>
      <c r="I62" s="3">
        <v>52</v>
      </c>
      <c r="J62" s="3">
        <v>40</v>
      </c>
      <c r="K62" s="3">
        <v>37</v>
      </c>
      <c r="L62" s="3">
        <v>55</v>
      </c>
      <c r="M62" s="3">
        <v>33</v>
      </c>
      <c r="N62" s="3">
        <v>33</v>
      </c>
      <c r="O62" s="13">
        <f>0.2*IF(COUNTIF(P62:INDEX(P62:V62,$B$1),"&gt;0")=0,0,
(SUMIF(P62:INDEX(P62:V62,$B$1),"&gt;0",P62:INDEX(P62:V62,$B$1))*$B$1/COUNTIF(P62:INDEX(P62:V62,$B$1),"&gt;0"))*
IF($B$1-COUNTIF(P62:INDEX(P62:V62,$B$1),"&gt;0")&lt;=2,1,
IF($B$1-COUNTIF(P62:INDEX(P62:V62,$B$1),"&gt;0")=3,0.8,
IF($B$1-COUNTIF(P62:INDEX(P62:V62,$B$1),"&gt;0")=4,0.6,
IF($B$1-COUNTIF(P62:INDEX(P62:V62,$B$1),"&gt;0")=5,0.4,
IF($B$1-COUNTIF(P62:INDEX(P62:V62,$B$1),"&gt;0")=6,0.2,0))))))</f>
        <v>45.6</v>
      </c>
      <c r="P62" s="3">
        <v>38</v>
      </c>
      <c r="Q62" s="3">
        <v>29</v>
      </c>
      <c r="R62" s="3">
        <v>41</v>
      </c>
      <c r="S62" s="3">
        <v>34</v>
      </c>
      <c r="T62" s="3">
        <v>31</v>
      </c>
      <c r="U62" s="3">
        <v>32</v>
      </c>
      <c r="V62" s="3">
        <v>23</v>
      </c>
      <c r="W62" s="3">
        <f>MIN(100,
IF($B$1&gt;=1,IFERROR(VALUE(SUBSTITUTE(SUBSTITUTE(TRIM(X62),"A",""),"B","")),0),0)+
IF($B$1&gt;=2,IFERROR(VALUE(SUBSTITUTE(SUBSTITUTE(TRIM(Y62),"A",""),"B","")),0),0)+
IF($B$1&gt;=3,IFERROR(VALUE(SUBSTITUTE(SUBSTITUTE(TRIM(Z62),"A",""),"B","")),0),0)+
IF($B$1&gt;=4,IFERROR(VALUE(SUBSTITUTE(SUBSTITUTE(TRIM(AA62),"A",""),"B","")),0),0)+
IF($B$1&gt;=5,IFERROR(VALUE(SUBSTITUTE(SUBSTITUTE(TRIM(AB62),"A",""),"B","")),0),0)+
IF($B$1&gt;=6,IFERROR(VALUE(SUBSTITUTE(SUBSTITUTE(TRIM(AC62),"A",""),"B","")),0),0)+
IF($B$1&gt;=7,IFERROR(VALUE(SUBSTITUTE(SUBSTITUTE(TRIM(AD62),"A",""),"B","")),0),0)
)</f>
        <v>20</v>
      </c>
      <c r="X62" s="3"/>
      <c r="Y62" s="3"/>
      <c r="Z62" s="3"/>
      <c r="AA62" s="3"/>
      <c r="AB62" s="3"/>
      <c r="AC62" s="3" t="s">
        <v>156</v>
      </c>
      <c r="AD62" s="3"/>
      <c r="AE62" s="13">
        <f>AH62+AK62+AN62+AQ62+AT62+AW62+AZ62+BC62</f>
        <v>18.02492150415334</v>
      </c>
      <c r="AF62" s="13"/>
      <c r="AG62" s="13">
        <f>SQRT(AF62)</f>
        <v>0</v>
      </c>
      <c r="AH62" s="13">
        <f>IF(AG62&gt;0,AG62/AG$99*1000, 0)</f>
        <v>0</v>
      </c>
      <c r="AI62" s="13">
        <v>0.1</v>
      </c>
      <c r="AJ62" s="13">
        <f>SQRT(AI62)</f>
        <v>0.31622776601683794</v>
      </c>
      <c r="AK62" s="13">
        <f>IF(AJ62&gt;0,AJ62/AJ$99*1000, 0)</f>
        <v>9.3537111307178193</v>
      </c>
      <c r="AL62" s="13"/>
      <c r="AM62" s="13">
        <f>SQRT(AL62)</f>
        <v>0</v>
      </c>
      <c r="AN62" s="13">
        <f>IF(AM62&gt;0,AM62/AM$99*1000, 0)</f>
        <v>0</v>
      </c>
      <c r="AO62" s="13"/>
      <c r="AP62" s="13">
        <f>SQRT(AO62)</f>
        <v>0</v>
      </c>
      <c r="AQ62" s="13">
        <f>IF(AP62&gt;0,AP62/AP$99*1000, 0)</f>
        <v>0</v>
      </c>
      <c r="AR62" s="13"/>
      <c r="AS62" s="13">
        <f>SQRT(AR62)</f>
        <v>0</v>
      </c>
      <c r="AT62" s="13">
        <f>IF(AS62&gt;0,AS62/AS$99*1000, 0)</f>
        <v>0</v>
      </c>
      <c r="AU62" s="13"/>
      <c r="AV62" s="13">
        <f>SQRT(AU62)</f>
        <v>0</v>
      </c>
      <c r="AW62" s="13">
        <f>IF(AV62&gt;0,AV62/AV$99*1000, 0)</f>
        <v>0</v>
      </c>
      <c r="AX62" s="13"/>
      <c r="AY62" s="13">
        <f>SQRT(AX62)</f>
        <v>0</v>
      </c>
      <c r="AZ62" s="13">
        <f>IF(AY62&gt;0,AY62/AY$99*1000, 0)</f>
        <v>0</v>
      </c>
      <c r="BA62" s="27">
        <v>14</v>
      </c>
      <c r="BB62" s="13">
        <f>SQRT(BA62)</f>
        <v>3.7416573867739413</v>
      </c>
      <c r="BC62" s="13">
        <f>IF(BB62&gt;0,BB62/BB$99*1000, 0)</f>
        <v>8.6712103734355193</v>
      </c>
      <c r="BD62" s="24"/>
      <c r="BE62" s="21">
        <f>SQRT(BD62)</f>
        <v>0</v>
      </c>
      <c r="BF62" s="13">
        <f>IF(BE62&gt;0, BE62/BE$99*10000, 0)</f>
        <v>0</v>
      </c>
      <c r="BG62" s="27">
        <v>8</v>
      </c>
      <c r="BH62" s="13">
        <f>IF(BG62&gt;0, BG62/BG$99*2000, 0)</f>
        <v>22.253129346314324</v>
      </c>
      <c r="BI62" s="30">
        <v>-50</v>
      </c>
      <c r="BJ62" s="30">
        <v>0</v>
      </c>
      <c r="BK62" s="30">
        <f>BJ62+BI62</f>
        <v>-50</v>
      </c>
      <c r="BL62" s="3"/>
      <c r="BM62" s="1"/>
      <c r="BN62" s="1"/>
      <c r="BO62" s="1"/>
    </row>
    <row r="63" spans="1:67" s="6" customFormat="1" ht="20.100000000000001" customHeight="1" x14ac:dyDescent="0.25">
      <c r="A63" s="1"/>
      <c r="B63" s="1">
        <v>56</v>
      </c>
      <c r="C63" s="50">
        <v>59</v>
      </c>
      <c r="D63" s="51" t="str">
        <f>IF(C63&lt;B63,"▲"&amp;B63-C63,IF(C63&gt;B63,"▼"&amp;C63-B63,"—"))</f>
        <v>▼3</v>
      </c>
      <c r="E63" s="52" t="s">
        <v>67</v>
      </c>
      <c r="F63" s="53">
        <f>G63+O63+W63+AE63+BF63+BH63+BK63</f>
        <v>342.88609137540743</v>
      </c>
      <c r="G63" s="19">
        <f>IF(COUNTIF(H63:INDEX(H63:N63,$B$1),"&gt;0")=0,0,
SUMIF(H63:INDEX(H63:N63,$B$1),"&gt;0",H63:INDEX(H63:N63,$B$1))*$B$1/COUNTIF(H63:INDEX(H63:N63,$B$1),"&gt;0")*
IF($B$1-COUNTIF(H63:INDEX(H63:N63,$B$1),"&gt;0")&lt;=2,1,
IF($B$1-COUNTIF(H63:INDEX(H63:N63,$B$1),"&gt;0")=3,0.8,
IF($B$1-COUNTIF(H63:INDEX(H63:N63,$B$1),"&gt;0")=4,0.6,
IF($B$1-COUNTIF(H63:INDEX(H63:N63,$B$1),"&gt;0")=5,0.4,
IF($B$1-COUNTIF(H63:INDEX(H63:N63,$B$1),"&gt;0")=6,0.2,0))))))</f>
        <v>264</v>
      </c>
      <c r="H63" s="3">
        <v>41</v>
      </c>
      <c r="I63" s="3">
        <v>39</v>
      </c>
      <c r="J63" s="3">
        <v>43</v>
      </c>
      <c r="K63" s="3">
        <v>51</v>
      </c>
      <c r="L63" s="3">
        <v>25</v>
      </c>
      <c r="M63" s="3">
        <v>42</v>
      </c>
      <c r="N63" s="3">
        <v>23</v>
      </c>
      <c r="O63" s="13">
        <f>0.2*IF(COUNTIF(P63:INDEX(P63:V63,$B$1),"&gt;0")=0,0,
(SUMIF(P63:INDEX(P63:V63,$B$1),"&gt;0",P63:INDEX(P63:V63,$B$1))*$B$1/COUNTIF(P63:INDEX(P63:V63,$B$1),"&gt;0"))*
IF($B$1-COUNTIF(P63:INDEX(P63:V63,$B$1),"&gt;0")&lt;=2,1,
IF($B$1-COUNTIF(P63:INDEX(P63:V63,$B$1),"&gt;0")=3,0.8,
IF($B$1-COUNTIF(P63:INDEX(P63:V63,$B$1),"&gt;0")=4,0.6,
IF($B$1-COUNTIF(P63:INDEX(P63:V63,$B$1),"&gt;0")=5,0.4,
IF($B$1-COUNTIF(P63:INDEX(P63:V63,$B$1),"&gt;0")=6,0.2,0))))))</f>
        <v>33.133333333333333</v>
      </c>
      <c r="P63" s="3">
        <v>-1</v>
      </c>
      <c r="Q63" s="3">
        <v>26</v>
      </c>
      <c r="R63" s="3">
        <v>30</v>
      </c>
      <c r="S63" s="3">
        <v>27</v>
      </c>
      <c r="T63" s="3">
        <v>23</v>
      </c>
      <c r="U63" s="3">
        <v>23</v>
      </c>
      <c r="V63" s="3">
        <v>13</v>
      </c>
      <c r="W63" s="3">
        <f>MIN(100,
IF($B$1&gt;=1,IFERROR(VALUE(SUBSTITUTE(SUBSTITUTE(TRIM(X63),"A",""),"B","")),0),0)+
IF($B$1&gt;=2,IFERROR(VALUE(SUBSTITUTE(SUBSTITUTE(TRIM(Y63),"A",""),"B","")),0),0)+
IF($B$1&gt;=3,IFERROR(VALUE(SUBSTITUTE(SUBSTITUTE(TRIM(Z63),"A",""),"B","")),0),0)+
IF($B$1&gt;=4,IFERROR(VALUE(SUBSTITUTE(SUBSTITUTE(TRIM(AA63),"A",""),"B","")),0),0)+
IF($B$1&gt;=5,IFERROR(VALUE(SUBSTITUTE(SUBSTITUTE(TRIM(AB63),"A",""),"B","")),0),0)+
IF($B$1&gt;=6,IFERROR(VALUE(SUBSTITUTE(SUBSTITUTE(TRIM(AC63),"A",""),"B","")),0),0)+
IF($B$1&gt;=7,IFERROR(VALUE(SUBSTITUTE(SUBSTITUTE(TRIM(AD63),"A",""),"B","")),0),0)
)</f>
        <v>20</v>
      </c>
      <c r="X63" s="3"/>
      <c r="Y63" s="3"/>
      <c r="Z63" s="3"/>
      <c r="AA63" s="3"/>
      <c r="AB63" s="3"/>
      <c r="AC63" s="3" t="s">
        <v>156</v>
      </c>
      <c r="AD63" s="3"/>
      <c r="AE63" s="13">
        <f>AH63+AK63+AN63+AQ63+AT63+AW63+AZ63+BC63</f>
        <v>0</v>
      </c>
      <c r="AF63" s="13"/>
      <c r="AG63" s="13">
        <f>SQRT(AF63)</f>
        <v>0</v>
      </c>
      <c r="AH63" s="13">
        <f>IF(AG63&gt;0,AG63/AG$99*1000, 0)</f>
        <v>0</v>
      </c>
      <c r="AI63" s="13"/>
      <c r="AJ63" s="13">
        <f>SQRT(AI63)</f>
        <v>0</v>
      </c>
      <c r="AK63" s="13">
        <f>IF(AJ63&gt;0,AJ63/AJ$99*1000, 0)</f>
        <v>0</v>
      </c>
      <c r="AL63" s="13"/>
      <c r="AM63" s="13">
        <f>SQRT(AL63)</f>
        <v>0</v>
      </c>
      <c r="AN63" s="13">
        <f>IF(AM63&gt;0,AM63/AM$99*1000, 0)</f>
        <v>0</v>
      </c>
      <c r="AO63" s="13"/>
      <c r="AP63" s="13">
        <f>SQRT(AO63)</f>
        <v>0</v>
      </c>
      <c r="AQ63" s="13">
        <f>IF(AP63&gt;0,AP63/AP$99*1000, 0)</f>
        <v>0</v>
      </c>
      <c r="AR63" s="13"/>
      <c r="AS63" s="13">
        <f>SQRT(AR63)</f>
        <v>0</v>
      </c>
      <c r="AT63" s="13">
        <f>IF(AS63&gt;0,AS63/AS$99*1000, 0)</f>
        <v>0</v>
      </c>
      <c r="AU63" s="13"/>
      <c r="AV63" s="13">
        <f>SQRT(AU63)</f>
        <v>0</v>
      </c>
      <c r="AW63" s="13">
        <f>IF(AV63&gt;0,AV63/AV$99*1000, 0)</f>
        <v>0</v>
      </c>
      <c r="AX63" s="13"/>
      <c r="AY63" s="13">
        <f>SQRT(AX63)</f>
        <v>0</v>
      </c>
      <c r="AZ63" s="13">
        <f>IF(AY63&gt;0,AY63/AY$99*1000, 0)</f>
        <v>0</v>
      </c>
      <c r="BA63" s="27"/>
      <c r="BB63" s="13">
        <f>SQRT(BA63)</f>
        <v>0</v>
      </c>
      <c r="BC63" s="13">
        <f>IF(BB63&gt;0,BB63/BB$99*1000, 0)</f>
        <v>0</v>
      </c>
      <c r="BD63" s="24">
        <v>0.01</v>
      </c>
      <c r="BE63" s="21">
        <f>SQRT(BD63)</f>
        <v>0.1</v>
      </c>
      <c r="BF63" s="13">
        <f>IF(BE63&gt;0, BE63/BE$99*10000, 0)</f>
        <v>25.752758042074106</v>
      </c>
      <c r="BG63" s="27"/>
      <c r="BH63" s="13">
        <f>IF(BG63&gt;0, BG63/BG$99*2000, 0)</f>
        <v>0</v>
      </c>
      <c r="BI63" s="30">
        <v>0</v>
      </c>
      <c r="BJ63" s="30">
        <v>0</v>
      </c>
      <c r="BK63" s="30">
        <f>BJ63+BI63</f>
        <v>0</v>
      </c>
      <c r="BL63" s="3"/>
      <c r="BM63" s="1"/>
      <c r="BN63" s="1"/>
      <c r="BO63" s="1"/>
    </row>
    <row r="64" spans="1:67" s="6" customFormat="1" ht="20.100000000000001" customHeight="1" x14ac:dyDescent="0.25">
      <c r="A64" s="1"/>
      <c r="B64" s="1">
        <v>59</v>
      </c>
      <c r="C64" s="50">
        <v>60</v>
      </c>
      <c r="D64" s="51" t="str">
        <f>IF(C64&lt;B64,"▲"&amp;B64-C64,IF(C64&gt;B64,"▼"&amp;C64-B64,"—"))</f>
        <v>▼1</v>
      </c>
      <c r="E64" s="52" t="s">
        <v>71</v>
      </c>
      <c r="F64" s="53">
        <f>G64+O64+W64+AE64+BF64+BH64+BK64</f>
        <v>264.40508536390035</v>
      </c>
      <c r="G64" s="19">
        <f>IF(COUNTIF(H64:INDEX(H64:N64,$B$1),"&gt;0")=0,0,
SUMIF(H64:INDEX(H64:N64,$B$1),"&gt;0",H64:INDEX(H64:N64,$B$1))*$B$1/COUNTIF(H64:INDEX(H64:N64,$B$1),"&gt;0")*
IF($B$1-COUNTIF(H64:INDEX(H64:N64,$B$1),"&gt;0")&lt;=2,1,
IF($B$1-COUNTIF(H64:INDEX(H64:N64,$B$1),"&gt;0")=3,0.8,
IF($B$1-COUNTIF(H64:INDEX(H64:N64,$B$1),"&gt;0")=4,0.6,
IF($B$1-COUNTIF(H64:INDEX(H64:N64,$B$1),"&gt;0")=5,0.4,
IF($B$1-COUNTIF(H64:INDEX(H64:N64,$B$1),"&gt;0")=6,0.2,0))))))</f>
        <v>217</v>
      </c>
      <c r="H64" s="3">
        <v>34</v>
      </c>
      <c r="I64" s="3">
        <v>42</v>
      </c>
      <c r="J64" s="3">
        <v>37</v>
      </c>
      <c r="K64" s="3">
        <v>33</v>
      </c>
      <c r="L64" s="3">
        <v>16</v>
      </c>
      <c r="M64" s="3">
        <v>14</v>
      </c>
      <c r="N64" s="3">
        <v>41</v>
      </c>
      <c r="O64" s="13">
        <f>0.2*IF(COUNTIF(P64:INDEX(P64:V64,$B$1),"&gt;0")=0,0,
(SUMIF(P64:INDEX(P64:V64,$B$1),"&gt;0",P64:INDEX(P64:V64,$B$1))*$B$1/COUNTIF(P64:INDEX(P64:V64,$B$1),"&gt;0"))*
IF($B$1-COUNTIF(P64:INDEX(P64:V64,$B$1),"&gt;0")&lt;=2,1,
IF($B$1-COUNTIF(P64:INDEX(P64:V64,$B$1),"&gt;0")=3,0.8,
IF($B$1-COUNTIF(P64:INDEX(P64:V64,$B$1),"&gt;0")=4,0.6,
IF($B$1-COUNTIF(P64:INDEX(P64:V64,$B$1),"&gt;0")=5,0.4,
IF($B$1-COUNTIF(P64:INDEX(P64:V64,$B$1),"&gt;0")=6,0.2,0))))))</f>
        <v>32.800000000000004</v>
      </c>
      <c r="P64" s="3">
        <v>27</v>
      </c>
      <c r="Q64" s="3">
        <v>29</v>
      </c>
      <c r="R64" s="3">
        <v>23</v>
      </c>
      <c r="S64" s="3">
        <v>22</v>
      </c>
      <c r="T64" s="3">
        <v>9</v>
      </c>
      <c r="U64" s="3">
        <v>25</v>
      </c>
      <c r="V64" s="3">
        <v>29</v>
      </c>
      <c r="W64" s="3">
        <f>MIN(100,
IF($B$1&gt;=1,IFERROR(VALUE(SUBSTITUTE(SUBSTITUTE(TRIM(X64),"A",""),"B","")),0),0)+
IF($B$1&gt;=2,IFERROR(VALUE(SUBSTITUTE(SUBSTITUTE(TRIM(Y64),"A",""),"B","")),0),0)+
IF($B$1&gt;=3,IFERROR(VALUE(SUBSTITUTE(SUBSTITUTE(TRIM(Z64),"A",""),"B","")),0),0)+
IF($B$1&gt;=4,IFERROR(VALUE(SUBSTITUTE(SUBSTITUTE(TRIM(AA64),"A",""),"B","")),0),0)+
IF($B$1&gt;=5,IFERROR(VALUE(SUBSTITUTE(SUBSTITUTE(TRIM(AB64),"A",""),"B","")),0),0)+
IF($B$1&gt;=6,IFERROR(VALUE(SUBSTITUTE(SUBSTITUTE(TRIM(AC64),"A",""),"B","")),0),0)+
IF($B$1&gt;=7,IFERROR(VALUE(SUBSTITUTE(SUBSTITUTE(TRIM(AD64),"A",""),"B","")),0),0)
)</f>
        <v>20</v>
      </c>
      <c r="X64" s="3"/>
      <c r="Y64" s="3"/>
      <c r="Z64" s="3"/>
      <c r="AA64" s="3"/>
      <c r="AB64" s="3"/>
      <c r="AC64" s="3" t="s">
        <v>156</v>
      </c>
      <c r="AD64" s="3"/>
      <c r="AE64" s="13">
        <f>AH64+AK64+AN64+AQ64+AT64+AW64+AZ64+BC64</f>
        <v>0</v>
      </c>
      <c r="AF64" s="13"/>
      <c r="AG64" s="13">
        <f>SQRT(AF64)</f>
        <v>0</v>
      </c>
      <c r="AH64" s="13">
        <f>IF(AG64&gt;0,AG64/AG$99*1000, 0)</f>
        <v>0</v>
      </c>
      <c r="AI64" s="13"/>
      <c r="AJ64" s="13">
        <f>SQRT(AI64)</f>
        <v>0</v>
      </c>
      <c r="AK64" s="13">
        <f>IF(AJ64&gt;0,AJ64/AJ$99*1000, 0)</f>
        <v>0</v>
      </c>
      <c r="AL64" s="13"/>
      <c r="AM64" s="13">
        <f>SQRT(AL64)</f>
        <v>0</v>
      </c>
      <c r="AN64" s="13">
        <f>IF(AM64&gt;0,AM64/AM$99*1000, 0)</f>
        <v>0</v>
      </c>
      <c r="AO64" s="13"/>
      <c r="AP64" s="13">
        <f>SQRT(AO64)</f>
        <v>0</v>
      </c>
      <c r="AQ64" s="13">
        <f>IF(AP64&gt;0,AP64/AP$99*1000, 0)</f>
        <v>0</v>
      </c>
      <c r="AR64" s="13"/>
      <c r="AS64" s="13">
        <f>SQRT(AR64)</f>
        <v>0</v>
      </c>
      <c r="AT64" s="13">
        <f>IF(AS64&gt;0,AS64/AS$99*1000, 0)</f>
        <v>0</v>
      </c>
      <c r="AU64" s="13"/>
      <c r="AV64" s="13">
        <f>SQRT(AU64)</f>
        <v>0</v>
      </c>
      <c r="AW64" s="13">
        <f>IF(AV64&gt;0,AV64/AV$99*1000, 0)</f>
        <v>0</v>
      </c>
      <c r="AX64" s="13"/>
      <c r="AY64" s="13">
        <f>SQRT(AX64)</f>
        <v>0</v>
      </c>
      <c r="AZ64" s="13">
        <f>IF(AY64&gt;0,AY64/AY$99*1000, 0)</f>
        <v>0</v>
      </c>
      <c r="BA64" s="27"/>
      <c r="BB64" s="13">
        <f>SQRT(BA64)</f>
        <v>0</v>
      </c>
      <c r="BC64" s="13">
        <f>IF(BB64&gt;0,BB64/BB$99*1000, 0)</f>
        <v>0</v>
      </c>
      <c r="BD64" s="24">
        <v>0.03</v>
      </c>
      <c r="BE64" s="21">
        <f>SQRT(BD64)</f>
        <v>0.17320508075688773</v>
      </c>
      <c r="BF64" s="13">
        <f>IF(BE64&gt;0, BE64/BE$99*10000, 0)</f>
        <v>44.605085363900351</v>
      </c>
      <c r="BG64" s="27"/>
      <c r="BH64" s="13">
        <f>IF(BG64&gt;0, BG64/BG$99*2000, 0)</f>
        <v>0</v>
      </c>
      <c r="BI64" s="30">
        <v>-50</v>
      </c>
      <c r="BJ64" s="30">
        <v>0</v>
      </c>
      <c r="BK64" s="30">
        <f>BJ64+BI64</f>
        <v>-50</v>
      </c>
      <c r="BL64" s="3"/>
      <c r="BM64" s="1"/>
      <c r="BN64" s="1"/>
      <c r="BO64" s="1"/>
    </row>
    <row r="65" spans="1:90" s="6" customFormat="1" ht="20.100000000000001" customHeight="1" x14ac:dyDescent="0.25">
      <c r="A65" s="1"/>
      <c r="B65" s="1">
        <v>60</v>
      </c>
      <c r="C65" s="50">
        <v>61</v>
      </c>
      <c r="D65" s="51" t="str">
        <f>IF(C65&lt;B65,"▲"&amp;B65-C65,IF(C65&gt;B65,"▼"&amp;C65-B65,"—"))</f>
        <v>▼1</v>
      </c>
      <c r="E65" s="52" t="s">
        <v>87</v>
      </c>
      <c r="F65" s="53">
        <f>G65+O65+W65+AE65+BF65+BH65+BK65</f>
        <v>250.85827412622228</v>
      </c>
      <c r="G65" s="19">
        <f>IF(COUNTIF(H65:INDEX(H65:N65,$B$1),"&gt;0")=0,0,
SUMIF(H65:INDEX(H65:N65,$B$1),"&gt;0",H65:INDEX(H65:N65,$B$1))*$B$1/COUNTIF(H65:INDEX(H65:N65,$B$1),"&gt;0")*
IF($B$1-COUNTIF(H65:INDEX(H65:N65,$B$1),"&gt;0")&lt;=2,1,
IF($B$1-COUNTIF(H65:INDEX(H65:N65,$B$1),"&gt;0")=3,0.8,
IF($B$1-COUNTIF(H65:INDEX(H65:N65,$B$1),"&gt;0")=4,0.6,
IF($B$1-COUNTIF(H65:INDEX(H65:N65,$B$1),"&gt;0")=5,0.4,
IF($B$1-COUNTIF(H65:INDEX(H65:N65,$B$1),"&gt;0")=6,0.2,0))))))</f>
        <v>102</v>
      </c>
      <c r="H65" s="3">
        <v>21</v>
      </c>
      <c r="I65" s="3">
        <v>18</v>
      </c>
      <c r="J65" s="3">
        <v>16</v>
      </c>
      <c r="K65" s="3">
        <v>13</v>
      </c>
      <c r="L65" s="3">
        <v>12</v>
      </c>
      <c r="M65" s="3">
        <v>11</v>
      </c>
      <c r="N65" s="3">
        <v>11</v>
      </c>
      <c r="O65" s="13">
        <f>0.2*IF(COUNTIF(P65:INDEX(P65:V65,$B$1),"&gt;0")=0,0,
(SUMIF(P65:INDEX(P65:V65,$B$1),"&gt;0",P65:INDEX(P65:V65,$B$1))*$B$1/COUNTIF(P65:INDEX(P65:V65,$B$1),"&gt;0"))*
IF($B$1-COUNTIF(P65:INDEX(P65:V65,$B$1),"&gt;0")&lt;=2,1,
IF($B$1-COUNTIF(P65:INDEX(P65:V65,$B$1),"&gt;0")=3,0.8,
IF($B$1-COUNTIF(P65:INDEX(P65:V65,$B$1),"&gt;0")=4,0.6,
IF($B$1-COUNTIF(P65:INDEX(P65:V65,$B$1),"&gt;0")=5,0.4,
IF($B$1-COUNTIF(P65:INDEX(P65:V65,$B$1),"&gt;0")=6,0.2,0))))))</f>
        <v>51.6</v>
      </c>
      <c r="P65" s="3">
        <v>42</v>
      </c>
      <c r="Q65" s="3">
        <v>28</v>
      </c>
      <c r="R65" s="3">
        <v>37</v>
      </c>
      <c r="S65" s="3">
        <v>38</v>
      </c>
      <c r="T65" s="3">
        <v>36</v>
      </c>
      <c r="U65" s="3">
        <v>34</v>
      </c>
      <c r="V65" s="3">
        <v>43</v>
      </c>
      <c r="W65" s="3">
        <f>MIN(100,
IF($B$1&gt;=1,IFERROR(VALUE(SUBSTITUTE(SUBSTITUTE(TRIM(X65),"A",""),"B","")),0),0)+
IF($B$1&gt;=2,IFERROR(VALUE(SUBSTITUTE(SUBSTITUTE(TRIM(Y65),"A",""),"B","")),0),0)+
IF($B$1&gt;=3,IFERROR(VALUE(SUBSTITUTE(SUBSTITUTE(TRIM(Z65),"A",""),"B","")),0),0)+
IF($B$1&gt;=4,IFERROR(VALUE(SUBSTITUTE(SUBSTITUTE(TRIM(AA65),"A",""),"B","")),0),0)+
IF($B$1&gt;=5,IFERROR(VALUE(SUBSTITUTE(SUBSTITUTE(TRIM(AB65),"A",""),"B","")),0),0)+
IF($B$1&gt;=6,IFERROR(VALUE(SUBSTITUTE(SUBSTITUTE(TRIM(AC65),"A",""),"B","")),0),0)+
IF($B$1&gt;=7,IFERROR(VALUE(SUBSTITUTE(SUBSTITUTE(TRIM(AD65),"A",""),"B","")),0),0)
)</f>
        <v>20</v>
      </c>
      <c r="X65" s="3"/>
      <c r="Y65" s="3"/>
      <c r="Z65" s="3"/>
      <c r="AA65" s="3"/>
      <c r="AB65" s="3"/>
      <c r="AC65" s="3" t="s">
        <v>156</v>
      </c>
      <c r="AD65" s="3"/>
      <c r="AE65" s="13">
        <f>AH65+AK65+AN65+AQ65+AT65+AW65+AZ65+BC65</f>
        <v>0</v>
      </c>
      <c r="AF65" s="13"/>
      <c r="AG65" s="13">
        <f>SQRT(AF65)</f>
        <v>0</v>
      </c>
      <c r="AH65" s="13">
        <f>IF(AG65&gt;0,AG65/AG$99*1000, 0)</f>
        <v>0</v>
      </c>
      <c r="AI65" s="13"/>
      <c r="AJ65" s="13">
        <f>SQRT(AI65)</f>
        <v>0</v>
      </c>
      <c r="AK65" s="13">
        <f>IF(AJ65&gt;0,AJ65/AJ$99*1000, 0)</f>
        <v>0</v>
      </c>
      <c r="AL65" s="13"/>
      <c r="AM65" s="13">
        <f>SQRT(AL65)</f>
        <v>0</v>
      </c>
      <c r="AN65" s="13">
        <f>IF(AM65&gt;0,AM65/AM$99*1000, 0)</f>
        <v>0</v>
      </c>
      <c r="AO65" s="13"/>
      <c r="AP65" s="13">
        <f>SQRT(AO65)</f>
        <v>0</v>
      </c>
      <c r="AQ65" s="13">
        <f>IF(AP65&gt;0,AP65/AP$99*1000, 0)</f>
        <v>0</v>
      </c>
      <c r="AR65" s="13"/>
      <c r="AS65" s="13">
        <f>SQRT(AR65)</f>
        <v>0</v>
      </c>
      <c r="AT65" s="13">
        <f>IF(AS65&gt;0,AS65/AS$99*1000, 0)</f>
        <v>0</v>
      </c>
      <c r="AU65" s="13"/>
      <c r="AV65" s="13">
        <f>SQRT(AU65)</f>
        <v>0</v>
      </c>
      <c r="AW65" s="13">
        <f>IF(AV65&gt;0,AV65/AV$99*1000, 0)</f>
        <v>0</v>
      </c>
      <c r="AX65" s="13"/>
      <c r="AY65" s="13">
        <f>SQRT(AX65)</f>
        <v>0</v>
      </c>
      <c r="AZ65" s="13">
        <f>IF(AY65&gt;0,AY65/AY$99*1000, 0)</f>
        <v>0</v>
      </c>
      <c r="BA65" s="27"/>
      <c r="BB65" s="13">
        <f>SQRT(BA65)</f>
        <v>0</v>
      </c>
      <c r="BC65" s="13">
        <f>IF(BB65&gt;0,BB65/BB$99*1000, 0)</f>
        <v>0</v>
      </c>
      <c r="BD65" s="24">
        <v>0.09</v>
      </c>
      <c r="BE65" s="21">
        <f>SQRT(BD65)</f>
        <v>0.3</v>
      </c>
      <c r="BF65" s="13">
        <f>IF(BE65&gt;0, BE65/BE$99*10000, 0)</f>
        <v>77.258274126222304</v>
      </c>
      <c r="BG65" s="27"/>
      <c r="BH65" s="13">
        <f>IF(BG65&gt;0, BG65/BG$99*2000, 0)</f>
        <v>0</v>
      </c>
      <c r="BI65" s="30">
        <v>0</v>
      </c>
      <c r="BJ65" s="30">
        <v>0</v>
      </c>
      <c r="BK65" s="30">
        <f>BJ65+BI65</f>
        <v>0</v>
      </c>
      <c r="BL65" s="3"/>
      <c r="BM65" s="1"/>
      <c r="BN65" s="1"/>
      <c r="BO65" s="1"/>
    </row>
    <row r="66" spans="1:90" s="6" customFormat="1" ht="20.100000000000001" customHeight="1" x14ac:dyDescent="0.25">
      <c r="A66" s="1"/>
      <c r="B66" s="1">
        <v>64</v>
      </c>
      <c r="C66" s="50">
        <v>62</v>
      </c>
      <c r="D66" s="51" t="str">
        <f>IF(C66&lt;B66,"▲"&amp;B66-C66,IF(C66&gt;B66,"▼"&amp;C66-B66,"—"))</f>
        <v>▲2</v>
      </c>
      <c r="E66" s="52" t="s">
        <v>44</v>
      </c>
      <c r="F66" s="53">
        <f>G66+O66+W66+AE66+BF66+BH66+BK66</f>
        <v>243.97524350532831</v>
      </c>
      <c r="G66" s="19">
        <f>IF(COUNTIF(H66:INDEX(H66:N66,$B$1),"&gt;0")=0,0,
SUMIF(H66:INDEX(H66:N66,$B$1),"&gt;0",H66:INDEX(H66:N66,$B$1))*$B$1/COUNTIF(H66:INDEX(H66:N66,$B$1),"&gt;0")*
IF($B$1-COUNTIF(H66:INDEX(H66:N66,$B$1),"&gt;0")&lt;=2,1,
IF($B$1-COUNTIF(H66:INDEX(H66:N66,$B$1),"&gt;0")=3,0.8,
IF($B$1-COUNTIF(H66:INDEX(H66:N66,$B$1),"&gt;0")=4,0.6,
IF($B$1-COUNTIF(H66:INDEX(H66:N66,$B$1),"&gt;0")=5,0.4,
IF($B$1-COUNTIF(H66:INDEX(H66:N66,$B$1),"&gt;0")=6,0.2,0))))))</f>
        <v>418</v>
      </c>
      <c r="H66" s="3">
        <v>35</v>
      </c>
      <c r="I66" s="3">
        <v>81</v>
      </c>
      <c r="J66" s="3">
        <v>72</v>
      </c>
      <c r="K66" s="3">
        <v>93</v>
      </c>
      <c r="L66" s="3">
        <v>35</v>
      </c>
      <c r="M66" s="3">
        <v>40</v>
      </c>
      <c r="N66" s="3">
        <v>62</v>
      </c>
      <c r="O66" s="13">
        <f>0.2*IF(COUNTIF(P66:INDEX(P66:V66,$B$1),"&gt;0")=0,0,
(SUMIF(P66:INDEX(P66:V66,$B$1),"&gt;0",P66:INDEX(P66:V66,$B$1))*$B$1/COUNTIF(P66:INDEX(P66:V66,$B$1),"&gt;0"))*
IF($B$1-COUNTIF(P66:INDEX(P66:V66,$B$1),"&gt;0")&lt;=2,1,
IF($B$1-COUNTIF(P66:INDEX(P66:V66,$B$1),"&gt;0")=3,0.8,
IF($B$1-COUNTIF(P66:INDEX(P66:V66,$B$1),"&gt;0")=4,0.6,
IF($B$1-COUNTIF(P66:INDEX(P66:V66,$B$1),"&gt;0")=5,0.4,
IF($B$1-COUNTIF(P66:INDEX(P66:V66,$B$1),"&gt;0")=6,0.2,0))))))</f>
        <v>74.8</v>
      </c>
      <c r="P66" s="3">
        <v>61</v>
      </c>
      <c r="Q66" s="3">
        <v>45</v>
      </c>
      <c r="R66" s="3">
        <v>55</v>
      </c>
      <c r="S66" s="3">
        <v>59</v>
      </c>
      <c r="T66" s="3">
        <v>53</v>
      </c>
      <c r="U66" s="3">
        <v>49</v>
      </c>
      <c r="V66" s="3">
        <v>52</v>
      </c>
      <c r="W66" s="3">
        <f>MIN(100,
IF($B$1&gt;=1,IFERROR(VALUE(SUBSTITUTE(SUBSTITUTE(TRIM(X66),"A",""),"B","")),0),0)+
IF($B$1&gt;=2,IFERROR(VALUE(SUBSTITUTE(SUBSTITUTE(TRIM(Y66),"A",""),"B","")),0),0)+
IF($B$1&gt;=3,IFERROR(VALUE(SUBSTITUTE(SUBSTITUTE(TRIM(Z66),"A",""),"B","")),0),0)+
IF($B$1&gt;=4,IFERROR(VALUE(SUBSTITUTE(SUBSTITUTE(TRIM(AA66),"A",""),"B","")),0),0)+
IF($B$1&gt;=5,IFERROR(VALUE(SUBSTITUTE(SUBSTITUTE(TRIM(AB66),"A",""),"B","")),0),0)+
IF($B$1&gt;=6,IFERROR(VALUE(SUBSTITUTE(SUBSTITUTE(TRIM(AC66),"A",""),"B","")),0),0)+
IF($B$1&gt;=7,IFERROR(VALUE(SUBSTITUTE(SUBSTITUTE(TRIM(AD66),"A",""),"B","")),0),0)
)</f>
        <v>20</v>
      </c>
      <c r="X66" s="3"/>
      <c r="Y66" s="3"/>
      <c r="Z66" s="3"/>
      <c r="AA66" s="3"/>
      <c r="AB66" s="3"/>
      <c r="AC66" s="3" t="s">
        <v>156</v>
      </c>
      <c r="AD66" s="3"/>
      <c r="AE66" s="13">
        <f>AH66+AK66+AN66+AQ66+AT66+AW66+AZ66+BC66</f>
        <v>4.6349569065765479</v>
      </c>
      <c r="AF66" s="13"/>
      <c r="AG66" s="13">
        <f>SQRT(AF66)</f>
        <v>0</v>
      </c>
      <c r="AH66" s="13">
        <f>IF(AG66&gt;0,AG66/AG$99*1000, 0)</f>
        <v>0</v>
      </c>
      <c r="AI66" s="13"/>
      <c r="AJ66" s="13">
        <f>SQRT(AI66)</f>
        <v>0</v>
      </c>
      <c r="AK66" s="13">
        <f>IF(AJ66&gt;0,AJ66/AJ$99*1000, 0)</f>
        <v>0</v>
      </c>
      <c r="AL66" s="13"/>
      <c r="AM66" s="13">
        <f>SQRT(AL66)</f>
        <v>0</v>
      </c>
      <c r="AN66" s="13">
        <f>IF(AM66&gt;0,AM66/AM$99*1000, 0)</f>
        <v>0</v>
      </c>
      <c r="AO66" s="13"/>
      <c r="AP66" s="13">
        <f>SQRT(AO66)</f>
        <v>0</v>
      </c>
      <c r="AQ66" s="13">
        <f>IF(AP66&gt;0,AP66/AP$99*1000, 0)</f>
        <v>0</v>
      </c>
      <c r="AR66" s="13"/>
      <c r="AS66" s="13">
        <f>SQRT(AR66)</f>
        <v>0</v>
      </c>
      <c r="AT66" s="13">
        <f>IF(AS66&gt;0,AS66/AS$99*1000, 0)</f>
        <v>0</v>
      </c>
      <c r="AU66" s="13"/>
      <c r="AV66" s="13">
        <f>SQRT(AU66)</f>
        <v>0</v>
      </c>
      <c r="AW66" s="13">
        <f>IF(AV66&gt;0,AV66/AV$99*1000, 0)</f>
        <v>0</v>
      </c>
      <c r="AX66" s="13"/>
      <c r="AY66" s="13">
        <f>SQRT(AX66)</f>
        <v>0</v>
      </c>
      <c r="AZ66" s="13">
        <f>IF(AY66&gt;0,AY66/AY$99*1000, 0)</f>
        <v>0</v>
      </c>
      <c r="BA66" s="27">
        <v>4</v>
      </c>
      <c r="BB66" s="13">
        <f>SQRT(BA66)</f>
        <v>2</v>
      </c>
      <c r="BC66" s="13">
        <f>IF(BB66&gt;0,BB66/BB$99*1000, 0)</f>
        <v>4.6349569065765479</v>
      </c>
      <c r="BD66" s="24">
        <v>0.04</v>
      </c>
      <c r="BE66" s="21">
        <f>SQRT(BD66)</f>
        <v>0.2</v>
      </c>
      <c r="BF66" s="13">
        <f>IF(BE66&gt;0, BE66/BE$99*10000, 0)</f>
        <v>51.505516084148212</v>
      </c>
      <c r="BG66" s="27">
        <v>9</v>
      </c>
      <c r="BH66" s="13">
        <f>IF(BG66&gt;0, BG66/BG$99*2000, 0)</f>
        <v>25.034770514603615</v>
      </c>
      <c r="BI66" s="30">
        <v>-50</v>
      </c>
      <c r="BJ66" s="30">
        <v>-300</v>
      </c>
      <c r="BK66" s="30">
        <f>BJ66+BI66</f>
        <v>-350</v>
      </c>
      <c r="BL66" s="3"/>
      <c r="BM66" s="1"/>
      <c r="BN66" s="1"/>
      <c r="BO66" s="1"/>
    </row>
    <row r="67" spans="1:90" s="6" customFormat="1" ht="20.100000000000001" customHeight="1" x14ac:dyDescent="0.25">
      <c r="A67" s="1"/>
      <c r="B67" s="1">
        <v>66</v>
      </c>
      <c r="C67" s="50">
        <v>63</v>
      </c>
      <c r="D67" s="51" t="str">
        <f>IF(C67&lt;B67,"▲"&amp;B67-C67,IF(C67&gt;B67,"▼"&amp;C67-B67,"—"))</f>
        <v>▲3</v>
      </c>
      <c r="E67" s="52" t="s">
        <v>176</v>
      </c>
      <c r="F67" s="53">
        <f>G67+O67+W67+AE67+BF67+BH67+BK67</f>
        <v>232.00319763109019</v>
      </c>
      <c r="G67" s="19">
        <f>IF(COUNTIF(H67:INDEX(H67:N67,$B$1),"&gt;0")=0,0,
SUMIF(H67:INDEX(H67:N67,$B$1),"&gt;0",H67:INDEX(H67:N67,$B$1))*$B$1/COUNTIF(H67:INDEX(H67:N67,$B$1),"&gt;0")*
IF($B$1-COUNTIF(H67:INDEX(H67:N67,$B$1),"&gt;0")&lt;=2,1,
IF($B$1-COUNTIF(H67:INDEX(H67:N67,$B$1),"&gt;0")=3,0.8,
IF($B$1-COUNTIF(H67:INDEX(H67:N67,$B$1),"&gt;0")=4,0.6,
IF($B$1-COUNTIF(H67:INDEX(H67:N67,$B$1),"&gt;0")=5,0.4,
IF($B$1-COUNTIF(H67:INDEX(H67:N67,$B$1),"&gt;0")=6,0.2,0))))))</f>
        <v>299</v>
      </c>
      <c r="H67" s="3">
        <v>36</v>
      </c>
      <c r="I67" s="3">
        <v>35</v>
      </c>
      <c r="J67" s="3">
        <v>23</v>
      </c>
      <c r="K67" s="3">
        <v>17</v>
      </c>
      <c r="L67" s="3">
        <v>107</v>
      </c>
      <c r="M67" s="3">
        <v>2</v>
      </c>
      <c r="N67" s="3">
        <v>79</v>
      </c>
      <c r="O67" s="13">
        <f>0.2*IF(COUNTIF(P67:INDEX(P67:V67,$B$1),"&gt;0")=0,0,
(SUMIF(P67:INDEX(P67:V67,$B$1),"&gt;0",P67:INDEX(P67:V67,$B$1))*$B$1/COUNTIF(P67:INDEX(P67:V67,$B$1),"&gt;0"))*
IF($B$1-COUNTIF(P67:INDEX(P67:V67,$B$1),"&gt;0")&lt;=2,1,
IF($B$1-COUNTIF(P67:INDEX(P67:V67,$B$1),"&gt;0")=3,0.8,
IF($B$1-COUNTIF(P67:INDEX(P67:V67,$B$1),"&gt;0")=4,0.6,
IF($B$1-COUNTIF(P67:INDEX(P67:V67,$B$1),"&gt;0")=5,0.4,
IF($B$1-COUNTIF(P67:INDEX(P67:V67,$B$1),"&gt;0")=6,0.2,0))))))</f>
        <v>47.400000000000006</v>
      </c>
      <c r="P67" s="3">
        <v>40</v>
      </c>
      <c r="Q67" s="3">
        <v>40</v>
      </c>
      <c r="R67" s="3">
        <v>35</v>
      </c>
      <c r="S67" s="3">
        <v>37</v>
      </c>
      <c r="T67" s="3">
        <v>34</v>
      </c>
      <c r="U67" s="3">
        <v>13</v>
      </c>
      <c r="V67" s="3">
        <v>38</v>
      </c>
      <c r="W67" s="3">
        <f>MIN(100,
IF($B$1&gt;=1,IFERROR(VALUE(SUBSTITUTE(SUBSTITUTE(TRIM(X67),"A",""),"B","")),0),0)+
IF($B$1&gt;=2,IFERROR(VALUE(SUBSTITUTE(SUBSTITUTE(TRIM(Y67),"A",""),"B","")),0),0)+
IF($B$1&gt;=3,IFERROR(VALUE(SUBSTITUTE(SUBSTITUTE(TRIM(Z67),"A",""),"B","")),0),0)+
IF($B$1&gt;=4,IFERROR(VALUE(SUBSTITUTE(SUBSTITUTE(TRIM(AA67),"A",""),"B","")),0),0)+
IF($B$1&gt;=5,IFERROR(VALUE(SUBSTITUTE(SUBSTITUTE(TRIM(AB67),"A",""),"B","")),0),0)+
IF($B$1&gt;=6,IFERROR(VALUE(SUBSTITUTE(SUBSTITUTE(TRIM(AC67),"A",""),"B","")),0),0)+
IF($B$1&gt;=7,IFERROR(VALUE(SUBSTITUTE(SUBSTITUTE(TRIM(AD67),"A",""),"B","")),0),0)
)</f>
        <v>100</v>
      </c>
      <c r="X67" s="3" t="s">
        <v>16</v>
      </c>
      <c r="Y67" s="3" t="s">
        <v>16</v>
      </c>
      <c r="Z67" s="3" t="s">
        <v>31</v>
      </c>
      <c r="AA67" s="3" t="s">
        <v>120</v>
      </c>
      <c r="AB67" s="3" t="s">
        <v>120</v>
      </c>
      <c r="AC67" s="3" t="s">
        <v>156</v>
      </c>
      <c r="AD67" s="3" t="s">
        <v>179</v>
      </c>
      <c r="AE67" s="13">
        <f>AH67+AK67+AN67+AQ67+AT67+AW67+AZ67+BC67</f>
        <v>0</v>
      </c>
      <c r="AF67" s="13"/>
      <c r="AG67" s="13">
        <f>SQRT(AF67)</f>
        <v>0</v>
      </c>
      <c r="AH67" s="13">
        <f>IF(AG67&gt;0,AG67/AG$99*1000, 0)</f>
        <v>0</v>
      </c>
      <c r="AI67" s="13"/>
      <c r="AJ67" s="13">
        <f>SQRT(AI67)</f>
        <v>0</v>
      </c>
      <c r="AK67" s="13">
        <f>IF(AJ67&gt;0,AJ67/AJ$99*1000, 0)</f>
        <v>0</v>
      </c>
      <c r="AL67" s="13"/>
      <c r="AM67" s="13">
        <f>SQRT(AL67)</f>
        <v>0</v>
      </c>
      <c r="AN67" s="13">
        <f>IF(AM67&gt;0,AM67/AM$99*1000, 0)</f>
        <v>0</v>
      </c>
      <c r="AO67" s="13"/>
      <c r="AP67" s="13">
        <f>SQRT(AO67)</f>
        <v>0</v>
      </c>
      <c r="AQ67" s="13">
        <f>IF(AP67&gt;0,AP67/AP$99*1000, 0)</f>
        <v>0</v>
      </c>
      <c r="AR67" s="13"/>
      <c r="AS67" s="13">
        <f>SQRT(AR67)</f>
        <v>0</v>
      </c>
      <c r="AT67" s="13">
        <f>IF(AS67&gt;0,AS67/AS$99*1000, 0)</f>
        <v>0</v>
      </c>
      <c r="AU67" s="13"/>
      <c r="AV67" s="13">
        <f>SQRT(AU67)</f>
        <v>0</v>
      </c>
      <c r="AW67" s="13">
        <f>IF(AV67&gt;0,AV67/AV$99*1000, 0)</f>
        <v>0</v>
      </c>
      <c r="AX67" s="13"/>
      <c r="AY67" s="13">
        <f>SQRT(AX67)</f>
        <v>0</v>
      </c>
      <c r="AZ67" s="13">
        <f>IF(AY67&gt;0,AY67/AY$99*1000, 0)</f>
        <v>0</v>
      </c>
      <c r="BA67" s="27"/>
      <c r="BB67" s="13">
        <f>SQRT(BA67)</f>
        <v>0</v>
      </c>
      <c r="BC67" s="13">
        <f>IF(BB67&gt;0,BB67/BB$99*1000, 0)</f>
        <v>0</v>
      </c>
      <c r="BD67" s="24">
        <v>0.09</v>
      </c>
      <c r="BE67" s="21">
        <f>SQRT(BD67)</f>
        <v>0.3</v>
      </c>
      <c r="BF67" s="13">
        <f>IF(BE67&gt;0, BE67/BE$99*10000, 0)</f>
        <v>77.258274126222304</v>
      </c>
      <c r="BG67" s="27">
        <v>3</v>
      </c>
      <c r="BH67" s="13">
        <f>IF(BG67&gt;0, BG67/BG$99*2000, 0)</f>
        <v>8.3449235048678716</v>
      </c>
      <c r="BI67" s="30">
        <v>0</v>
      </c>
      <c r="BJ67" s="30">
        <v>-300</v>
      </c>
      <c r="BK67" s="30">
        <f>BJ67+BI67</f>
        <v>-300</v>
      </c>
      <c r="BL67" s="3"/>
      <c r="BM67" s="1"/>
      <c r="BN67" s="1"/>
      <c r="BO67" s="1"/>
    </row>
    <row r="68" spans="1:90" s="6" customFormat="1" ht="20.100000000000001" customHeight="1" x14ac:dyDescent="0.25">
      <c r="A68" s="1"/>
      <c r="B68" s="1">
        <v>62</v>
      </c>
      <c r="C68" s="50">
        <v>64</v>
      </c>
      <c r="D68" s="51" t="str">
        <f>IF(C68&lt;B68,"▲"&amp;B68-C68,IF(C68&gt;B68,"▼"&amp;C68-B68,"—"))</f>
        <v>▼2</v>
      </c>
      <c r="E68" s="52" t="s">
        <v>73</v>
      </c>
      <c r="F68" s="53">
        <f>G68+O68+W68+AE68+BF68+BH68+BK68</f>
        <v>221.21989969161399</v>
      </c>
      <c r="G68" s="19">
        <f>IF(COUNTIF(H68:INDEX(H68:N68,$B$1),"&gt;0")=0,0,
SUMIF(H68:INDEX(H68:N68,$B$1),"&gt;0",H68:INDEX(H68:N68,$B$1))*$B$1/COUNTIF(H68:INDEX(H68:N68,$B$1),"&gt;0")*
IF($B$1-COUNTIF(H68:INDEX(H68:N68,$B$1),"&gt;0")&lt;=2,1,
IF($B$1-COUNTIF(H68:INDEX(H68:N68,$B$1),"&gt;0")=3,0.8,
IF($B$1-COUNTIF(H68:INDEX(H68:N68,$B$1),"&gt;0")=4,0.6,
IF($B$1-COUNTIF(H68:INDEX(H68:N68,$B$1),"&gt;0")=5,0.4,
IF($B$1-COUNTIF(H68:INDEX(H68:N68,$B$1),"&gt;0")=6,0.2,0))))))</f>
        <v>160</v>
      </c>
      <c r="H68" s="3">
        <v>37</v>
      </c>
      <c r="I68" s="3">
        <v>21</v>
      </c>
      <c r="J68" s="3">
        <v>27</v>
      </c>
      <c r="K68" s="3">
        <v>19</v>
      </c>
      <c r="L68" s="3">
        <v>19</v>
      </c>
      <c r="M68" s="3">
        <v>18</v>
      </c>
      <c r="N68" s="3">
        <v>19</v>
      </c>
      <c r="O68" s="13">
        <f>0.2*IF(COUNTIF(P68:INDEX(P68:V68,$B$1),"&gt;0")=0,0,
(SUMIF(P68:INDEX(P68:V68,$B$1),"&gt;0",P68:INDEX(P68:V68,$B$1))*$B$1/COUNTIF(P68:INDEX(P68:V68,$B$1),"&gt;0"))*
IF($B$1-COUNTIF(P68:INDEX(P68:V68,$B$1),"&gt;0")&lt;=2,1,
IF($B$1-COUNTIF(P68:INDEX(P68:V68,$B$1),"&gt;0")=3,0.8,
IF($B$1-COUNTIF(P68:INDEX(P68:V68,$B$1),"&gt;0")=4,0.6,
IF($B$1-COUNTIF(P68:INDEX(P68:V68,$B$1),"&gt;0")=5,0.4,
IF($B$1-COUNTIF(P68:INDEX(P68:V68,$B$1),"&gt;0")=6,0.2,0))))))</f>
        <v>54.800000000000004</v>
      </c>
      <c r="P68" s="3">
        <v>41</v>
      </c>
      <c r="Q68" s="3">
        <v>35</v>
      </c>
      <c r="R68" s="3">
        <v>39</v>
      </c>
      <c r="S68" s="3">
        <v>47</v>
      </c>
      <c r="T68" s="3">
        <v>39</v>
      </c>
      <c r="U68" s="3">
        <v>31</v>
      </c>
      <c r="V68" s="3">
        <v>42</v>
      </c>
      <c r="W68" s="3">
        <f>MIN(100,
IF($B$1&gt;=1,IFERROR(VALUE(SUBSTITUTE(SUBSTITUTE(TRIM(X68),"A",""),"B","")),0),0)+
IF($B$1&gt;=2,IFERROR(VALUE(SUBSTITUTE(SUBSTITUTE(TRIM(Y68),"A",""),"B","")),0),0)+
IF($B$1&gt;=3,IFERROR(VALUE(SUBSTITUTE(SUBSTITUTE(TRIM(Z68),"A",""),"B","")),0),0)+
IF($B$1&gt;=4,IFERROR(VALUE(SUBSTITUTE(SUBSTITUTE(TRIM(AA68),"A",""),"B","")),0),0)+
IF($B$1&gt;=5,IFERROR(VALUE(SUBSTITUTE(SUBSTITUTE(TRIM(AB68),"A",""),"B","")),0),0)+
IF($B$1&gt;=6,IFERROR(VALUE(SUBSTITUTE(SUBSTITUTE(TRIM(AC68),"A",""),"B","")),0),0)+
IF($B$1&gt;=7,IFERROR(VALUE(SUBSTITUTE(SUBSTITUTE(TRIM(AD68),"A",""),"B","")),0),0)
)</f>
        <v>20</v>
      </c>
      <c r="X68" s="3"/>
      <c r="Y68" s="3"/>
      <c r="Z68" s="3"/>
      <c r="AA68" s="3"/>
      <c r="AB68" s="3"/>
      <c r="AC68" s="3" t="s">
        <v>156</v>
      </c>
      <c r="AD68" s="3"/>
      <c r="AE68" s="13">
        <f>AH68+AK68+AN68+AQ68+AT68+AW68+AZ68+BC68</f>
        <v>0</v>
      </c>
      <c r="AF68" s="13"/>
      <c r="AG68" s="13">
        <f>SQRT(AF68)</f>
        <v>0</v>
      </c>
      <c r="AH68" s="13">
        <f>IF(AG68&gt;0,AG68/AG$99*1000, 0)</f>
        <v>0</v>
      </c>
      <c r="AI68" s="13"/>
      <c r="AJ68" s="13">
        <f>SQRT(AI68)</f>
        <v>0</v>
      </c>
      <c r="AK68" s="13">
        <f>IF(AJ68&gt;0,AJ68/AJ$99*1000, 0)</f>
        <v>0</v>
      </c>
      <c r="AL68" s="13"/>
      <c r="AM68" s="13">
        <f>SQRT(AL68)</f>
        <v>0</v>
      </c>
      <c r="AN68" s="13">
        <f>IF(AM68&gt;0,AM68/AM$99*1000, 0)</f>
        <v>0</v>
      </c>
      <c r="AO68" s="13"/>
      <c r="AP68" s="13">
        <f>SQRT(AO68)</f>
        <v>0</v>
      </c>
      <c r="AQ68" s="13">
        <f>IF(AP68&gt;0,AP68/AP$99*1000, 0)</f>
        <v>0</v>
      </c>
      <c r="AR68" s="13"/>
      <c r="AS68" s="13">
        <f>SQRT(AR68)</f>
        <v>0</v>
      </c>
      <c r="AT68" s="13">
        <f>IF(AS68&gt;0,AS68/AS$99*1000, 0)</f>
        <v>0</v>
      </c>
      <c r="AU68" s="13"/>
      <c r="AV68" s="13">
        <f>SQRT(AU68)</f>
        <v>0</v>
      </c>
      <c r="AW68" s="13">
        <f>IF(AV68&gt;0,AV68/AV$99*1000, 0)</f>
        <v>0</v>
      </c>
      <c r="AX68" s="13"/>
      <c r="AY68" s="13">
        <f>SQRT(AX68)</f>
        <v>0</v>
      </c>
      <c r="AZ68" s="13">
        <f>IF(AY68&gt;0,AY68/AY$99*1000, 0)</f>
        <v>0</v>
      </c>
      <c r="BA68" s="27"/>
      <c r="BB68" s="13">
        <f>SQRT(BA68)</f>
        <v>0</v>
      </c>
      <c r="BC68" s="13">
        <f>IF(BB68&gt;0,BB68/BB$99*1000, 0)</f>
        <v>0</v>
      </c>
      <c r="BD68" s="24">
        <v>0.02</v>
      </c>
      <c r="BE68" s="21">
        <f>SQRT(BD68)</f>
        <v>0.1414213562373095</v>
      </c>
      <c r="BF68" s="13">
        <f>IF(BE68&gt;0, BE68/BE$99*10000, 0)</f>
        <v>36.419899691613985</v>
      </c>
      <c r="BG68" s="27"/>
      <c r="BH68" s="13">
        <f>IF(BG68&gt;0, BG68/BG$99*2000, 0)</f>
        <v>0</v>
      </c>
      <c r="BI68" s="30">
        <v>-50</v>
      </c>
      <c r="BJ68" s="30">
        <v>0</v>
      </c>
      <c r="BK68" s="30">
        <f>BJ68+BI68</f>
        <v>-50</v>
      </c>
      <c r="BL68" s="3"/>
      <c r="BM68" s="1"/>
      <c r="BN68" s="1"/>
      <c r="BO68" s="1"/>
    </row>
    <row r="69" spans="1:90" s="6" customFormat="1" ht="20.100000000000001" customHeight="1" x14ac:dyDescent="0.25">
      <c r="A69" s="1"/>
      <c r="B69" s="1">
        <v>63</v>
      </c>
      <c r="C69" s="50">
        <v>65</v>
      </c>
      <c r="D69" s="51" t="str">
        <f>IF(C69&lt;B69,"▲"&amp;B69-C69,IF(C69&gt;B69,"▼"&amp;C69-B69,"—"))</f>
        <v>▼2</v>
      </c>
      <c r="E69" s="52" t="s">
        <v>115</v>
      </c>
      <c r="F69" s="53">
        <f>G69+O69+W69+AE69+BF69+BH69+BK69</f>
        <v>209.19192976183876</v>
      </c>
      <c r="G69" s="19">
        <f>IF(COUNTIF(H69:INDEX(H69:N69,$B$1),"&gt;0")=0,0,
SUMIF(H69:INDEX(H69:N69,$B$1),"&gt;0",H69:INDEX(H69:N69,$B$1))*$B$1/COUNTIF(H69:INDEX(H69:N69,$B$1),"&gt;0")*
IF($B$1-COUNTIF(H69:INDEX(H69:N69,$B$1),"&gt;0")&lt;=2,1,
IF($B$1-COUNTIF(H69:INDEX(H69:N69,$B$1),"&gt;0")=3,0.8,
IF($B$1-COUNTIF(H69:INDEX(H69:N69,$B$1),"&gt;0")=4,0.6,
IF($B$1-COUNTIF(H69:INDEX(H69:N69,$B$1),"&gt;0")=5,0.4,
IF($B$1-COUNTIF(H69:INDEX(H69:N69,$B$1),"&gt;0")=6,0.2,0))))))</f>
        <v>216</v>
      </c>
      <c r="H69" s="3">
        <v>27</v>
      </c>
      <c r="I69" s="3">
        <v>28</v>
      </c>
      <c r="J69" s="3">
        <v>30</v>
      </c>
      <c r="K69" s="3">
        <v>37</v>
      </c>
      <c r="L69" s="3">
        <v>29</v>
      </c>
      <c r="M69" s="3">
        <v>28</v>
      </c>
      <c r="N69" s="3">
        <v>37</v>
      </c>
      <c r="O69" s="13">
        <f>0.2*IF(COUNTIF(P69:INDEX(P69:V69,$B$1),"&gt;0")=0,0,
(SUMIF(P69:INDEX(P69:V69,$B$1),"&gt;0",P69:INDEX(P69:V69,$B$1))*$B$1/COUNTIF(P69:INDEX(P69:V69,$B$1),"&gt;0"))*
IF($B$1-COUNTIF(P69:INDEX(P69:V69,$B$1),"&gt;0")&lt;=2,1,
IF($B$1-COUNTIF(P69:INDEX(P69:V69,$B$1),"&gt;0")=3,0.8,
IF($B$1-COUNTIF(P69:INDEX(P69:V69,$B$1),"&gt;0")=4,0.6,
IF($B$1-COUNTIF(P69:INDEX(P69:V69,$B$1),"&gt;0")=5,0.4,
IF($B$1-COUNTIF(P69:INDEX(P69:V69,$B$1),"&gt;0")=6,0.2,0))))))</f>
        <v>54.400000000000006</v>
      </c>
      <c r="P69" s="3">
        <v>43</v>
      </c>
      <c r="Q69" s="3">
        <v>41</v>
      </c>
      <c r="R69" s="3">
        <v>41</v>
      </c>
      <c r="S69" s="3">
        <v>40</v>
      </c>
      <c r="T69" s="3">
        <v>40</v>
      </c>
      <c r="U69" s="3">
        <v>37</v>
      </c>
      <c r="V69" s="3">
        <v>30</v>
      </c>
      <c r="W69" s="3">
        <f>MIN(100,
IF($B$1&gt;=1,IFERROR(VALUE(SUBSTITUTE(SUBSTITUTE(TRIM(X69),"A",""),"B","")),0),0)+
IF($B$1&gt;=2,IFERROR(VALUE(SUBSTITUTE(SUBSTITUTE(TRIM(Y69),"A",""),"B","")),0),0)+
IF($B$1&gt;=3,IFERROR(VALUE(SUBSTITUTE(SUBSTITUTE(TRIM(Z69),"A",""),"B","")),0),0)+
IF($B$1&gt;=4,IFERROR(VALUE(SUBSTITUTE(SUBSTITUTE(TRIM(AA69),"A",""),"B","")),0),0)+
IF($B$1&gt;=5,IFERROR(VALUE(SUBSTITUTE(SUBSTITUTE(TRIM(AB69),"A",""),"B","")),0),0)+
IF($B$1&gt;=6,IFERROR(VALUE(SUBSTITUTE(SUBSTITUTE(TRIM(AC69),"A",""),"B","")),0),0)+
IF($B$1&gt;=7,IFERROR(VALUE(SUBSTITUTE(SUBSTITUTE(TRIM(AD69),"A",""),"B","")),0),0)
)</f>
        <v>20</v>
      </c>
      <c r="X69" s="3"/>
      <c r="Y69" s="3"/>
      <c r="Z69" s="3"/>
      <c r="AA69" s="3"/>
      <c r="AB69" s="3"/>
      <c r="AC69" s="3" t="s">
        <v>156</v>
      </c>
      <c r="AD69" s="3"/>
      <c r="AE69" s="13">
        <f>AH69+AK69+AN69+AQ69+AT69+AW69+AZ69+BC69</f>
        <v>0</v>
      </c>
      <c r="AF69" s="13"/>
      <c r="AG69" s="13">
        <f>SQRT(AF69)</f>
        <v>0</v>
      </c>
      <c r="AH69" s="13">
        <f>IF(AG69&gt;0,AG69/AG$99*1000, 0)</f>
        <v>0</v>
      </c>
      <c r="AI69" s="13"/>
      <c r="AJ69" s="13">
        <f>SQRT(AI69)</f>
        <v>0</v>
      </c>
      <c r="AK69" s="13">
        <f>IF(AJ69&gt;0,AJ69/AJ$99*1000, 0)</f>
        <v>0</v>
      </c>
      <c r="AL69" s="13"/>
      <c r="AM69" s="13">
        <f>SQRT(AL69)</f>
        <v>0</v>
      </c>
      <c r="AN69" s="13">
        <f>IF(AM69&gt;0,AM69/AM$99*1000, 0)</f>
        <v>0</v>
      </c>
      <c r="AO69" s="13"/>
      <c r="AP69" s="13">
        <f>SQRT(AO69)</f>
        <v>0</v>
      </c>
      <c r="AQ69" s="13">
        <f>IF(AP69&gt;0,AP69/AP$99*1000, 0)</f>
        <v>0</v>
      </c>
      <c r="AR69" s="13"/>
      <c r="AS69" s="13">
        <f>SQRT(AR69)</f>
        <v>0</v>
      </c>
      <c r="AT69" s="13">
        <f>IF(AS69&gt;0,AS69/AS$99*1000, 0)</f>
        <v>0</v>
      </c>
      <c r="AU69" s="13"/>
      <c r="AV69" s="13">
        <f>SQRT(AU69)</f>
        <v>0</v>
      </c>
      <c r="AW69" s="13">
        <f>IF(AV69&gt;0,AV69/AV$99*1000, 0)</f>
        <v>0</v>
      </c>
      <c r="AX69" s="13"/>
      <c r="AY69" s="13">
        <f>SQRT(AX69)</f>
        <v>0</v>
      </c>
      <c r="AZ69" s="13">
        <f>IF(AY69&gt;0,AY69/AY$99*1000, 0)</f>
        <v>0</v>
      </c>
      <c r="BA69" s="27"/>
      <c r="BB69" s="13">
        <f>SQRT(BA69)</f>
        <v>0</v>
      </c>
      <c r="BC69" s="13">
        <f>IF(BB69&gt;0,BB69/BB$99*1000, 0)</f>
        <v>0</v>
      </c>
      <c r="BD69" s="24">
        <v>0.11</v>
      </c>
      <c r="BE69" s="21">
        <f>SQRT(BD69)</f>
        <v>0.33166247903553997</v>
      </c>
      <c r="BF69" s="13">
        <f>IF(BE69&gt;0, BE69/BE$99*10000, 0)</f>
        <v>85.412235742367358</v>
      </c>
      <c r="BG69" s="27">
        <v>12</v>
      </c>
      <c r="BH69" s="13">
        <f>IF(BG69&gt;0, BG69/BG$99*2000, 0)</f>
        <v>33.379694019471486</v>
      </c>
      <c r="BI69" s="30">
        <v>-200</v>
      </c>
      <c r="BJ69" s="30">
        <v>0</v>
      </c>
      <c r="BK69" s="30">
        <f>BJ69+BI69</f>
        <v>-200</v>
      </c>
      <c r="BL69" s="3"/>
      <c r="BM69" s="1"/>
      <c r="BN69" s="1"/>
      <c r="BO69" s="1"/>
    </row>
    <row r="70" spans="1:90" s="6" customFormat="1" ht="20.100000000000001" customHeight="1" x14ac:dyDescent="0.25">
      <c r="A70" s="1"/>
      <c r="B70" s="1">
        <v>61</v>
      </c>
      <c r="C70" s="50">
        <v>66</v>
      </c>
      <c r="D70" s="51" t="str">
        <f>IF(C70&lt;B70,"▲"&amp;B70-C70,IF(C70&gt;B70,"▼"&amp;C70-B70,"—"))</f>
        <v>▼5</v>
      </c>
      <c r="E70" s="52" t="s">
        <v>96</v>
      </c>
      <c r="F70" s="53">
        <f>G70+O70+W70+AE70+BF70+BH70+BK70</f>
        <v>205.98127064673383</v>
      </c>
      <c r="G70" s="19">
        <f>IF(COUNTIF(H70:INDEX(H70:N70,$B$1),"&gt;0")=0,0,
SUMIF(H70:INDEX(H70:N70,$B$1),"&gt;0",H70:INDEX(H70:N70,$B$1))*$B$1/COUNTIF(H70:INDEX(H70:N70,$B$1),"&gt;0")*
IF($B$1-COUNTIF(H70:INDEX(H70:N70,$B$1),"&gt;0")&lt;=2,1,
IF($B$1-COUNTIF(H70:INDEX(H70:N70,$B$1),"&gt;0")=3,0.8,
IF($B$1-COUNTIF(H70:INDEX(H70:N70,$B$1),"&gt;0")=4,0.6,
IF($B$1-COUNTIF(H70:INDEX(H70:N70,$B$1),"&gt;0")=5,0.4,
IF($B$1-COUNTIF(H70:INDEX(H70:N70,$B$1),"&gt;0")=6,0.2,0))))))</f>
        <v>79.8</v>
      </c>
      <c r="H70" s="3">
        <v>-1</v>
      </c>
      <c r="I70" s="3">
        <v>-1</v>
      </c>
      <c r="J70" s="3">
        <v>3</v>
      </c>
      <c r="K70" s="3">
        <v>14</v>
      </c>
      <c r="L70" s="3">
        <v>29</v>
      </c>
      <c r="M70" s="3">
        <v>1</v>
      </c>
      <c r="N70" s="3">
        <v>10</v>
      </c>
      <c r="O70" s="13">
        <f>0.2*IF(COUNTIF(P70:INDEX(P70:V70,$B$1),"&gt;0")=0,0,
(SUMIF(P70:INDEX(P70:V70,$B$1),"&gt;0",P70:INDEX(P70:V70,$B$1))*$B$1/COUNTIF(P70:INDEX(P70:V70,$B$1),"&gt;0"))*
IF($B$1-COUNTIF(P70:INDEX(P70:V70,$B$1),"&gt;0")&lt;=2,1,
IF($B$1-COUNTIF(P70:INDEX(P70:V70,$B$1),"&gt;0")=3,0.8,
IF($B$1-COUNTIF(P70:INDEX(P70:V70,$B$1),"&gt;0")=4,0.6,
IF($B$1-COUNTIF(P70:INDEX(P70:V70,$B$1),"&gt;0")=5,0.4,
IF($B$1-COUNTIF(P70:INDEX(P70:V70,$B$1),"&gt;0")=6,0.2,0))))))</f>
        <v>12.040000000000001</v>
      </c>
      <c r="P70" s="3">
        <v>-1</v>
      </c>
      <c r="Q70" s="3">
        <v>-1</v>
      </c>
      <c r="R70" s="3">
        <v>3</v>
      </c>
      <c r="S70" s="3">
        <v>-1</v>
      </c>
      <c r="T70" s="3">
        <v>16</v>
      </c>
      <c r="U70" s="3">
        <v>17</v>
      </c>
      <c r="V70" s="3">
        <v>7</v>
      </c>
      <c r="W70" s="3">
        <f>MIN(100,
IF($B$1&gt;=1,IFERROR(VALUE(SUBSTITUTE(SUBSTITUTE(TRIM(X70),"A",""),"B","")),0),0)+
IF($B$1&gt;=2,IFERROR(VALUE(SUBSTITUTE(SUBSTITUTE(TRIM(Y70),"A",""),"B","")),0),0)+
IF($B$1&gt;=3,IFERROR(VALUE(SUBSTITUTE(SUBSTITUTE(TRIM(Z70),"A",""),"B","")),0),0)+
IF($B$1&gt;=4,IFERROR(VALUE(SUBSTITUTE(SUBSTITUTE(TRIM(AA70),"A",""),"B","")),0),0)+
IF($B$1&gt;=5,IFERROR(VALUE(SUBSTITUTE(SUBSTITUTE(TRIM(AB70),"A",""),"B","")),0),0)+
IF($B$1&gt;=6,IFERROR(VALUE(SUBSTITUTE(SUBSTITUTE(TRIM(AC70),"A",""),"B","")),0),0)+
IF($B$1&gt;=7,IFERROR(VALUE(SUBSTITUTE(SUBSTITUTE(TRIM(AD70),"A",""),"B","")),0),0)
)</f>
        <v>20</v>
      </c>
      <c r="X70" s="3"/>
      <c r="Y70" s="3"/>
      <c r="Z70" s="3"/>
      <c r="AA70" s="3"/>
      <c r="AB70" s="3"/>
      <c r="AC70" s="3" t="s">
        <v>156</v>
      </c>
      <c r="AD70" s="3"/>
      <c r="AE70" s="13">
        <f>AH70+AK70+AN70+AQ70+AT70+AW70+AZ70+BC70</f>
        <v>14.101355352222228</v>
      </c>
      <c r="AF70" s="13"/>
      <c r="AG70" s="13">
        <f>SQRT(AF70)</f>
        <v>0</v>
      </c>
      <c r="AH70" s="13">
        <f>IF(AG70&gt;0,AG70/AG$99*1000, 0)</f>
        <v>0</v>
      </c>
      <c r="AI70" s="13"/>
      <c r="AJ70" s="13">
        <f>SQRT(AI70)</f>
        <v>0</v>
      </c>
      <c r="AK70" s="13">
        <f>IF(AJ70&gt;0,AJ70/AJ$99*1000, 0)</f>
        <v>0</v>
      </c>
      <c r="AL70" s="13"/>
      <c r="AM70" s="13">
        <f>SQRT(AL70)</f>
        <v>0</v>
      </c>
      <c r="AN70" s="13">
        <f>IF(AM70&gt;0,AM70/AM$99*1000, 0)</f>
        <v>0</v>
      </c>
      <c r="AO70" s="13"/>
      <c r="AP70" s="13">
        <f>SQRT(AO70)</f>
        <v>0</v>
      </c>
      <c r="AQ70" s="13">
        <f>IF(AP70&gt;0,AP70/AP$99*1000, 0)</f>
        <v>0</v>
      </c>
      <c r="AR70" s="13"/>
      <c r="AS70" s="13">
        <f>SQRT(AR70)</f>
        <v>0</v>
      </c>
      <c r="AT70" s="13">
        <f>IF(AS70&gt;0,AS70/AS$99*1000, 0)</f>
        <v>0</v>
      </c>
      <c r="AU70" s="13">
        <v>0.1</v>
      </c>
      <c r="AV70" s="13">
        <f>SQRT(AU70)</f>
        <v>0.31622776601683794</v>
      </c>
      <c r="AW70" s="13">
        <f>IF(AV70&gt;0,AV70/AV$99*1000, 0)</f>
        <v>14.101355352222228</v>
      </c>
      <c r="AX70" s="13"/>
      <c r="AY70" s="13">
        <f>SQRT(AX70)</f>
        <v>0</v>
      </c>
      <c r="AZ70" s="13">
        <f>IF(AY70&gt;0,AY70/AY$99*1000, 0)</f>
        <v>0</v>
      </c>
      <c r="BA70" s="27"/>
      <c r="BB70" s="13">
        <f>SQRT(BA70)</f>
        <v>0</v>
      </c>
      <c r="BC70" s="13">
        <f>IF(BB70&gt;0,BB70/BB$99*1000, 0)</f>
        <v>0</v>
      </c>
      <c r="BD70" s="24">
        <v>0.09</v>
      </c>
      <c r="BE70" s="21">
        <f>SQRT(BD70)</f>
        <v>0.3</v>
      </c>
      <c r="BF70" s="13">
        <f>IF(BE70&gt;0, BE70/BE$99*10000, 0)</f>
        <v>77.258274126222304</v>
      </c>
      <c r="BG70" s="27">
        <v>1</v>
      </c>
      <c r="BH70" s="13">
        <f>IF(BG70&gt;0, BG70/BG$99*2000, 0)</f>
        <v>2.7816411682892905</v>
      </c>
      <c r="BI70" s="30">
        <v>0</v>
      </c>
      <c r="BJ70" s="30">
        <v>0</v>
      </c>
      <c r="BK70" s="30">
        <f>BJ70+BI70</f>
        <v>0</v>
      </c>
      <c r="BL70" s="3"/>
      <c r="BM70" s="1"/>
      <c r="BN70" s="1"/>
      <c r="BO70" s="1"/>
    </row>
    <row r="71" spans="1:90" s="6" customFormat="1" ht="20.100000000000001" customHeight="1" x14ac:dyDescent="0.25">
      <c r="A71" s="1"/>
      <c r="B71" s="1">
        <v>65</v>
      </c>
      <c r="C71" s="50">
        <v>67</v>
      </c>
      <c r="D71" s="51" t="str">
        <f>IF(C71&lt;B71,"▲"&amp;B71-C71,IF(C71&gt;B71,"▼"&amp;C71-B71,"—"))</f>
        <v>▼2</v>
      </c>
      <c r="E71" s="52" t="s">
        <v>89</v>
      </c>
      <c r="F71" s="53">
        <f>G71+O71+W71+AE71+BF71+BH71+BK71</f>
        <v>192.26275784072681</v>
      </c>
      <c r="G71" s="19">
        <f>IF(COUNTIF(H71:INDEX(H71:N71,$B$1),"&gt;0")=0,0,
SUMIF(H71:INDEX(H71:N71,$B$1),"&gt;0",H71:INDEX(H71:N71,$B$1))*$B$1/COUNTIF(H71:INDEX(H71:N71,$B$1),"&gt;0")*
IF($B$1-COUNTIF(H71:INDEX(H71:N71,$B$1),"&gt;0")&lt;=2,1,
IF($B$1-COUNTIF(H71:INDEX(H71:N71,$B$1),"&gt;0")=3,0.8,
IF($B$1-COUNTIF(H71:INDEX(H71:N71,$B$1),"&gt;0")=4,0.6,
IF($B$1-COUNTIF(H71:INDEX(H71:N71,$B$1),"&gt;0")=5,0.4,
IF($B$1-COUNTIF(H71:INDEX(H71:N71,$B$1),"&gt;0")=6,0.2,0))))))</f>
        <v>97</v>
      </c>
      <c r="H71" s="3">
        <v>10</v>
      </c>
      <c r="I71" s="3">
        <v>11</v>
      </c>
      <c r="J71" s="3">
        <v>15</v>
      </c>
      <c r="K71" s="3">
        <v>17</v>
      </c>
      <c r="L71" s="3">
        <v>13</v>
      </c>
      <c r="M71" s="3">
        <v>6</v>
      </c>
      <c r="N71" s="3">
        <v>25</v>
      </c>
      <c r="O71" s="13">
        <f>0.2*IF(COUNTIF(P71:INDEX(P71:V71,$B$1),"&gt;0")=0,0,
(SUMIF(P71:INDEX(P71:V71,$B$1),"&gt;0",P71:INDEX(P71:V71,$B$1))*$B$1/COUNTIF(P71:INDEX(P71:V71,$B$1),"&gt;0"))*
IF($B$1-COUNTIF(P71:INDEX(P71:V71,$B$1),"&gt;0")&lt;=2,1,
IF($B$1-COUNTIF(P71:INDEX(P71:V71,$B$1),"&gt;0")=3,0.8,
IF($B$1-COUNTIF(P71:INDEX(P71:V71,$B$1),"&gt;0")=4,0.6,
IF($B$1-COUNTIF(P71:INDEX(P71:V71,$B$1),"&gt;0")=5,0.4,
IF($B$1-COUNTIF(P71:INDEX(P71:V71,$B$1),"&gt;0")=6,0.2,0))))))</f>
        <v>59.400000000000006</v>
      </c>
      <c r="P71" s="3">
        <v>48</v>
      </c>
      <c r="Q71" s="3">
        <v>35</v>
      </c>
      <c r="R71" s="3">
        <v>40</v>
      </c>
      <c r="S71" s="3">
        <v>37</v>
      </c>
      <c r="T71" s="3">
        <v>52</v>
      </c>
      <c r="U71" s="3">
        <v>38</v>
      </c>
      <c r="V71" s="3">
        <v>47</v>
      </c>
      <c r="W71" s="3">
        <f>MIN(100,
IF($B$1&gt;=1,IFERROR(VALUE(SUBSTITUTE(SUBSTITUTE(TRIM(X71),"A",""),"B","")),0),0)+
IF($B$1&gt;=2,IFERROR(VALUE(SUBSTITUTE(SUBSTITUTE(TRIM(Y71),"A",""),"B","")),0),0)+
IF($B$1&gt;=3,IFERROR(VALUE(SUBSTITUTE(SUBSTITUTE(TRIM(Z71),"A",""),"B","")),0),0)+
IF($B$1&gt;=4,IFERROR(VALUE(SUBSTITUTE(SUBSTITUTE(TRIM(AA71),"A",""),"B","")),0),0)+
IF($B$1&gt;=5,IFERROR(VALUE(SUBSTITUTE(SUBSTITUTE(TRIM(AB71),"A",""),"B","")),0),0)+
IF($B$1&gt;=6,IFERROR(VALUE(SUBSTITUTE(SUBSTITUTE(TRIM(AC71),"A",""),"B","")),0),0)+
IF($B$1&gt;=7,IFERROR(VALUE(SUBSTITUTE(SUBSTITUTE(TRIM(AD71),"A",""),"B","")),0),0)
)</f>
        <v>20</v>
      </c>
      <c r="X71" s="3"/>
      <c r="Y71" s="3"/>
      <c r="Z71" s="3"/>
      <c r="AA71" s="3"/>
      <c r="AB71" s="3"/>
      <c r="AC71" s="3" t="s">
        <v>156</v>
      </c>
      <c r="AD71" s="3"/>
      <c r="AE71" s="13">
        <f>AH71+AK71+AN71+AQ71+AT71+AW71+AZ71+BC71</f>
        <v>0</v>
      </c>
      <c r="AF71" s="13"/>
      <c r="AG71" s="13">
        <f>SQRT(AF71)</f>
        <v>0</v>
      </c>
      <c r="AH71" s="13">
        <f>IF(AG71&gt;0,AG71/AG$99*1000, 0)</f>
        <v>0</v>
      </c>
      <c r="AI71" s="13"/>
      <c r="AJ71" s="13">
        <f>SQRT(AI71)</f>
        <v>0</v>
      </c>
      <c r="AK71" s="13">
        <f>IF(AJ71&gt;0,AJ71/AJ$99*1000, 0)</f>
        <v>0</v>
      </c>
      <c r="AL71" s="13"/>
      <c r="AM71" s="13">
        <f>SQRT(AL71)</f>
        <v>0</v>
      </c>
      <c r="AN71" s="13">
        <f>IF(AM71&gt;0,AM71/AM$99*1000, 0)</f>
        <v>0</v>
      </c>
      <c r="AO71" s="13"/>
      <c r="AP71" s="13">
        <f>SQRT(AO71)</f>
        <v>0</v>
      </c>
      <c r="AQ71" s="13">
        <f>IF(AP71&gt;0,AP71/AP$99*1000, 0)</f>
        <v>0</v>
      </c>
      <c r="AR71" s="13"/>
      <c r="AS71" s="13">
        <f>SQRT(AR71)</f>
        <v>0</v>
      </c>
      <c r="AT71" s="13">
        <f>IF(AS71&gt;0,AS71/AS$99*1000, 0)</f>
        <v>0</v>
      </c>
      <c r="AU71" s="13"/>
      <c r="AV71" s="13">
        <f>SQRT(AU71)</f>
        <v>0</v>
      </c>
      <c r="AW71" s="13">
        <f>IF(AV71&gt;0,AV71/AV$99*1000, 0)</f>
        <v>0</v>
      </c>
      <c r="AX71" s="13"/>
      <c r="AY71" s="13">
        <f>SQRT(AX71)</f>
        <v>0</v>
      </c>
      <c r="AZ71" s="13">
        <f>IF(AY71&gt;0,AY71/AY$99*1000, 0)</f>
        <v>0</v>
      </c>
      <c r="BA71" s="27"/>
      <c r="BB71" s="13">
        <f>SQRT(BA71)</f>
        <v>0</v>
      </c>
      <c r="BC71" s="13">
        <f>IF(BB71&gt;0,BB71/BB$99*1000, 0)</f>
        <v>0</v>
      </c>
      <c r="BD71" s="24">
        <v>0.06</v>
      </c>
      <c r="BE71" s="21">
        <f>SQRT(BD71)</f>
        <v>0.2449489742783178</v>
      </c>
      <c r="BF71" s="13">
        <f>IF(BE71&gt;0, BE71/BE$99*10000, 0)</f>
        <v>63.081116672437517</v>
      </c>
      <c r="BG71" s="27">
        <v>1</v>
      </c>
      <c r="BH71" s="13">
        <f>IF(BG71&gt;0, BG71/BG$99*2000, 0)</f>
        <v>2.7816411682892905</v>
      </c>
      <c r="BI71" s="30">
        <v>-50</v>
      </c>
      <c r="BJ71" s="30">
        <v>0</v>
      </c>
      <c r="BK71" s="30">
        <f>BJ71+BI71</f>
        <v>-50</v>
      </c>
      <c r="BL71" s="3"/>
      <c r="BM71" s="1"/>
      <c r="BN71" s="1"/>
      <c r="BO71" s="1"/>
    </row>
    <row r="72" spans="1:90" s="6" customFormat="1" ht="20.100000000000001" customHeight="1" x14ac:dyDescent="0.25">
      <c r="A72" s="1"/>
      <c r="B72" s="1">
        <v>67</v>
      </c>
      <c r="C72" s="50">
        <v>68</v>
      </c>
      <c r="D72" s="51" t="str">
        <f>IF(C72&lt;B72,"▲"&amp;B72-C72,IF(C72&gt;B72,"▼"&amp;C72-B72,"—"))</f>
        <v>▼1</v>
      </c>
      <c r="E72" s="52" t="s">
        <v>53</v>
      </c>
      <c r="F72" s="53">
        <f>G72+O72+W72+AE72+BF72+BH72+BK72</f>
        <v>181.51894275477298</v>
      </c>
      <c r="G72" s="19">
        <f>IF(COUNTIF(H72:INDEX(H72:N72,$B$1),"&gt;0")=0,0,
SUMIF(H72:INDEX(H72:N72,$B$1),"&gt;0",H72:INDEX(H72:N72,$B$1))*$B$1/COUNTIF(H72:INDEX(H72:N72,$B$1),"&gt;0")*
IF($B$1-COUNTIF(H72:INDEX(H72:N72,$B$1),"&gt;0")&lt;=2,1,
IF($B$1-COUNTIF(H72:INDEX(H72:N72,$B$1),"&gt;0")=3,0.8,
IF($B$1-COUNTIF(H72:INDEX(H72:N72,$B$1),"&gt;0")=4,0.6,
IF($B$1-COUNTIF(H72:INDEX(H72:N72,$B$1),"&gt;0")=5,0.4,
IF($B$1-COUNTIF(H72:INDEX(H72:N72,$B$1),"&gt;0")=6,0.2,0))))))</f>
        <v>388</v>
      </c>
      <c r="H72" s="3">
        <v>76</v>
      </c>
      <c r="I72" s="3">
        <v>43</v>
      </c>
      <c r="J72" s="3">
        <v>44</v>
      </c>
      <c r="K72" s="3">
        <v>56</v>
      </c>
      <c r="L72" s="3">
        <v>62</v>
      </c>
      <c r="M72" s="3">
        <v>60</v>
      </c>
      <c r="N72" s="3">
        <v>47</v>
      </c>
      <c r="O72" s="13">
        <f>0.2*IF(COUNTIF(P72:INDEX(P72:V72,$B$1),"&gt;0")=0,0,
(SUMIF(P72:INDEX(P72:V72,$B$1),"&gt;0",P72:INDEX(P72:V72,$B$1))*$B$1/COUNTIF(P72:INDEX(P72:V72,$B$1),"&gt;0"))*
IF($B$1-COUNTIF(P72:INDEX(P72:V72,$B$1),"&gt;0")&lt;=2,1,
IF($B$1-COUNTIF(P72:INDEX(P72:V72,$B$1),"&gt;0")=3,0.8,
IF($B$1-COUNTIF(P72:INDEX(P72:V72,$B$1),"&gt;0")=4,0.6,
IF($B$1-COUNTIF(P72:INDEX(P72:V72,$B$1),"&gt;0")=5,0.4,
IF($B$1-COUNTIF(P72:INDEX(P72:V72,$B$1),"&gt;0")=6,0.2,0))))))</f>
        <v>63.2</v>
      </c>
      <c r="P72" s="3">
        <v>48</v>
      </c>
      <c r="Q72" s="3">
        <v>41</v>
      </c>
      <c r="R72" s="3">
        <v>45</v>
      </c>
      <c r="S72" s="3">
        <v>44</v>
      </c>
      <c r="T72" s="3">
        <v>45</v>
      </c>
      <c r="U72" s="3">
        <v>50</v>
      </c>
      <c r="V72" s="3">
        <v>43</v>
      </c>
      <c r="W72" s="3">
        <f>MIN(100,
IF($B$1&gt;=1,IFERROR(VALUE(SUBSTITUTE(SUBSTITUTE(TRIM(X72),"A",""),"B","")),0),0)+
IF($B$1&gt;=2,IFERROR(VALUE(SUBSTITUTE(SUBSTITUTE(TRIM(Y72),"A",""),"B","")),0),0)+
IF($B$1&gt;=3,IFERROR(VALUE(SUBSTITUTE(SUBSTITUTE(TRIM(Z72),"A",""),"B","")),0),0)+
IF($B$1&gt;=4,IFERROR(VALUE(SUBSTITUTE(SUBSTITUTE(TRIM(AA72),"A",""),"B","")),0),0)+
IF($B$1&gt;=5,IFERROR(VALUE(SUBSTITUTE(SUBSTITUTE(TRIM(AB72),"A",""),"B","")),0),0)+
IF($B$1&gt;=6,IFERROR(VALUE(SUBSTITUTE(SUBSTITUTE(TRIM(AC72),"A",""),"B","")),0),0)+
IF($B$1&gt;=7,IFERROR(VALUE(SUBSTITUTE(SUBSTITUTE(TRIM(AD72),"A",""),"B","")),0),0)
)</f>
        <v>20</v>
      </c>
      <c r="X72" s="3"/>
      <c r="Y72" s="3"/>
      <c r="Z72" s="3"/>
      <c r="AA72" s="3"/>
      <c r="AB72" s="3"/>
      <c r="AC72" s="3" t="s">
        <v>156</v>
      </c>
      <c r="AD72" s="3"/>
      <c r="AE72" s="13">
        <f>AH72+AK72+AN72+AQ72+AT72+AW72+AZ72+BC72</f>
        <v>26.219275673181606</v>
      </c>
      <c r="AF72" s="13"/>
      <c r="AG72" s="13">
        <f>SQRT(AF72)</f>
        <v>0</v>
      </c>
      <c r="AH72" s="13">
        <f>IF(AG72&gt;0,AG72/AG$99*1000, 0)</f>
        <v>0</v>
      </c>
      <c r="AI72" s="13"/>
      <c r="AJ72" s="13">
        <f>SQRT(AI72)</f>
        <v>0</v>
      </c>
      <c r="AK72" s="13">
        <f>IF(AJ72&gt;0,AJ72/AJ$99*1000, 0)</f>
        <v>0</v>
      </c>
      <c r="AL72" s="13"/>
      <c r="AM72" s="13">
        <f>SQRT(AL72)</f>
        <v>0</v>
      </c>
      <c r="AN72" s="13">
        <f>IF(AM72&gt;0,AM72/AM$99*1000, 0)</f>
        <v>0</v>
      </c>
      <c r="AO72" s="13"/>
      <c r="AP72" s="13">
        <f>SQRT(AO72)</f>
        <v>0</v>
      </c>
      <c r="AQ72" s="13">
        <f>IF(AP72&gt;0,AP72/AP$99*1000, 0)</f>
        <v>0</v>
      </c>
      <c r="AR72" s="13"/>
      <c r="AS72" s="13">
        <f>SQRT(AR72)</f>
        <v>0</v>
      </c>
      <c r="AT72" s="13">
        <f>IF(AS72&gt;0,AS72/AS$99*1000, 0)</f>
        <v>0</v>
      </c>
      <c r="AU72" s="13"/>
      <c r="AV72" s="13">
        <f>SQRT(AU72)</f>
        <v>0</v>
      </c>
      <c r="AW72" s="13">
        <f>IF(AV72&gt;0,AV72/AV$99*1000, 0)</f>
        <v>0</v>
      </c>
      <c r="AX72" s="13"/>
      <c r="AY72" s="13">
        <f>SQRT(AX72)</f>
        <v>0</v>
      </c>
      <c r="AZ72" s="13">
        <f>IF(AY72&gt;0,AY72/AY$99*1000, 0)</f>
        <v>0</v>
      </c>
      <c r="BA72" s="27">
        <v>128</v>
      </c>
      <c r="BB72" s="13">
        <f>SQRT(BA72)</f>
        <v>11.313708498984761</v>
      </c>
      <c r="BC72" s="13">
        <f>IF(BB72&gt;0,BB72/BB$99*1000, 0)</f>
        <v>26.219275673181606</v>
      </c>
      <c r="BD72" s="24">
        <v>0.33</v>
      </c>
      <c r="BE72" s="21">
        <f>SQRT(BD72)</f>
        <v>0.57445626465380284</v>
      </c>
      <c r="BF72" s="13">
        <f>IF(BE72&gt;0, BE72/BE$99*10000, 0)</f>
        <v>147.93833189383068</v>
      </c>
      <c r="BG72" s="27">
        <v>13</v>
      </c>
      <c r="BH72" s="13">
        <f>IF(BG72&gt;0, BG72/BG$99*2000, 0)</f>
        <v>36.161335187760784</v>
      </c>
      <c r="BI72" s="30">
        <v>-200</v>
      </c>
      <c r="BJ72" s="30">
        <v>-300</v>
      </c>
      <c r="BK72" s="30">
        <f>BJ72+BI72</f>
        <v>-500</v>
      </c>
      <c r="BL72" s="3"/>
      <c r="BM72" s="1"/>
      <c r="BN72" s="1"/>
      <c r="BO72" s="1"/>
    </row>
    <row r="73" spans="1:90" s="6" customFormat="1" ht="20.100000000000001" customHeight="1" x14ac:dyDescent="0.25">
      <c r="A73" s="1"/>
      <c r="B73" s="1">
        <v>68</v>
      </c>
      <c r="C73" s="50">
        <v>69</v>
      </c>
      <c r="D73" s="51" t="str">
        <f>IF(C73&lt;B73,"▲"&amp;B73-C73,IF(C73&gt;B73,"▼"&amp;C73-B73,"—"))</f>
        <v>▼1</v>
      </c>
      <c r="E73" s="52" t="s">
        <v>114</v>
      </c>
      <c r="F73" s="53">
        <f>G73+O73+W73+AE73+BF73+BH73+BK73</f>
        <v>145.08810553306043</v>
      </c>
      <c r="G73" s="19">
        <f>IF(COUNTIF(H73:INDEX(H73:N73,$B$1),"&gt;0")=0,0,
SUMIF(H73:INDEX(H73:N73,$B$1),"&gt;0",H73:INDEX(H73:N73,$B$1))*$B$1/COUNTIF(H73:INDEX(H73:N73,$B$1),"&gt;0")*
IF($B$1-COUNTIF(H73:INDEX(H73:N73,$B$1),"&gt;0")&lt;=2,1,
IF($B$1-COUNTIF(H73:INDEX(H73:N73,$B$1),"&gt;0")=3,0.8,
IF($B$1-COUNTIF(H73:INDEX(H73:N73,$B$1),"&gt;0")=4,0.6,
IF($B$1-COUNTIF(H73:INDEX(H73:N73,$B$1),"&gt;0")=5,0.4,
IF($B$1-COUNTIF(H73:INDEX(H73:N73,$B$1),"&gt;0")=6,0.2,0))))))</f>
        <v>60.199999999999996</v>
      </c>
      <c r="H73" s="3">
        <v>-1</v>
      </c>
      <c r="I73" s="3">
        <v>-1</v>
      </c>
      <c r="J73" s="3">
        <v>-1</v>
      </c>
      <c r="K73" s="3">
        <v>-1</v>
      </c>
      <c r="L73" s="3">
        <v>4</v>
      </c>
      <c r="M73" s="3">
        <v>35</v>
      </c>
      <c r="N73" s="3">
        <v>4</v>
      </c>
      <c r="O73" s="13">
        <f>0.2*IF(COUNTIF(P73:INDEX(P73:V73,$B$1),"&gt;0")=0,0,
(SUMIF(P73:INDEX(P73:V73,$B$1),"&gt;0",P73:INDEX(P73:V73,$B$1))*$B$1/COUNTIF(P73:INDEX(P73:V73,$B$1),"&gt;0"))*
IF($B$1-COUNTIF(P73:INDEX(P73:V73,$B$1),"&gt;0")&lt;=2,1,
IF($B$1-COUNTIF(P73:INDEX(P73:V73,$B$1),"&gt;0")=3,0.8,
IF($B$1-COUNTIF(P73:INDEX(P73:V73,$B$1),"&gt;0")=4,0.6,
IF($B$1-COUNTIF(P73:INDEX(P73:V73,$B$1),"&gt;0")=5,0.4,
IF($B$1-COUNTIF(P73:INDEX(P73:V73,$B$1),"&gt;0")=6,0.2,0))))))</f>
        <v>14.56</v>
      </c>
      <c r="P73" s="3">
        <v>-1</v>
      </c>
      <c r="Q73" s="3">
        <v>-1</v>
      </c>
      <c r="R73" s="3">
        <v>-1</v>
      </c>
      <c r="S73" s="3">
        <v>1</v>
      </c>
      <c r="T73" s="3">
        <v>9</v>
      </c>
      <c r="U73" s="3">
        <v>37</v>
      </c>
      <c r="V73" s="3">
        <v>5</v>
      </c>
      <c r="W73" s="3">
        <f>MIN(100,
IF($B$1&gt;=1,IFERROR(VALUE(SUBSTITUTE(SUBSTITUTE(TRIM(X73),"A",""),"B","")),0),0)+
IF($B$1&gt;=2,IFERROR(VALUE(SUBSTITUTE(SUBSTITUTE(TRIM(Y73),"A",""),"B","")),0),0)+
IF($B$1&gt;=3,IFERROR(VALUE(SUBSTITUTE(SUBSTITUTE(TRIM(Z73),"A",""),"B","")),0),0)+
IF($B$1&gt;=4,IFERROR(VALUE(SUBSTITUTE(SUBSTITUTE(TRIM(AA73),"A",""),"B","")),0),0)+
IF($B$1&gt;=5,IFERROR(VALUE(SUBSTITUTE(SUBSTITUTE(TRIM(AB73),"A",""),"B","")),0),0)+
IF($B$1&gt;=6,IFERROR(VALUE(SUBSTITUTE(SUBSTITUTE(TRIM(AC73),"A",""),"B","")),0),0)+
IF($B$1&gt;=7,IFERROR(VALUE(SUBSTITUTE(SUBSTITUTE(TRIM(AD73),"A",""),"B","")),0),0)
)</f>
        <v>20</v>
      </c>
      <c r="X73" s="3"/>
      <c r="Y73" s="3"/>
      <c r="Z73" s="3"/>
      <c r="AA73" s="3"/>
      <c r="AB73" s="3"/>
      <c r="AC73" s="3" t="s">
        <v>156</v>
      </c>
      <c r="AD73" s="3"/>
      <c r="AE73" s="13">
        <f>AH73+AK73+AN73+AQ73+AT73+AW73+AZ73+BC73</f>
        <v>0</v>
      </c>
      <c r="AF73" s="13"/>
      <c r="AG73" s="13">
        <f>SQRT(AF73)</f>
        <v>0</v>
      </c>
      <c r="AH73" s="13">
        <f>IF(AG73&gt;0,AG73/AG$99*1000, 0)</f>
        <v>0</v>
      </c>
      <c r="AI73" s="13"/>
      <c r="AJ73" s="13">
        <f>SQRT(AI73)</f>
        <v>0</v>
      </c>
      <c r="AK73" s="13">
        <f>IF(AJ73&gt;0,AJ73/AJ$99*1000, 0)</f>
        <v>0</v>
      </c>
      <c r="AL73" s="13"/>
      <c r="AM73" s="13">
        <f>SQRT(AL73)</f>
        <v>0</v>
      </c>
      <c r="AN73" s="13">
        <f>IF(AM73&gt;0,AM73/AM$99*1000, 0)</f>
        <v>0</v>
      </c>
      <c r="AO73" s="13"/>
      <c r="AP73" s="13">
        <f>SQRT(AO73)</f>
        <v>0</v>
      </c>
      <c r="AQ73" s="13">
        <f>IF(AP73&gt;0,AP73/AP$99*1000, 0)</f>
        <v>0</v>
      </c>
      <c r="AR73" s="13"/>
      <c r="AS73" s="13">
        <f>SQRT(AR73)</f>
        <v>0</v>
      </c>
      <c r="AT73" s="13">
        <f>IF(AS73&gt;0,AS73/AS$99*1000, 0)</f>
        <v>0</v>
      </c>
      <c r="AU73" s="13"/>
      <c r="AV73" s="13">
        <f>SQRT(AU73)</f>
        <v>0</v>
      </c>
      <c r="AW73" s="13">
        <f>IF(AV73&gt;0,AV73/AV$99*1000, 0)</f>
        <v>0</v>
      </c>
      <c r="AX73" s="13"/>
      <c r="AY73" s="13">
        <f>SQRT(AX73)</f>
        <v>0</v>
      </c>
      <c r="AZ73" s="13">
        <f>IF(AY73&gt;0,AY73/AY$99*1000, 0)</f>
        <v>0</v>
      </c>
      <c r="BA73" s="27"/>
      <c r="BB73" s="13">
        <f>SQRT(BA73)</f>
        <v>0</v>
      </c>
      <c r="BC73" s="13">
        <f>IF(BB73&gt;0,BB73/BB$99*1000, 0)</f>
        <v>0</v>
      </c>
      <c r="BD73" s="24">
        <v>0.02</v>
      </c>
      <c r="BE73" s="21">
        <f>SQRT(BD73)</f>
        <v>0.1414213562373095</v>
      </c>
      <c r="BF73" s="13">
        <f>IF(BE73&gt;0, BE73/BE$99*10000, 0)</f>
        <v>36.419899691613985</v>
      </c>
      <c r="BG73" s="27">
        <v>5</v>
      </c>
      <c r="BH73" s="13">
        <f>IF(BG73&gt;0, BG73/BG$99*2000, 0)</f>
        <v>13.908205841446454</v>
      </c>
      <c r="BI73" s="30">
        <v>0</v>
      </c>
      <c r="BJ73" s="30">
        <v>0</v>
      </c>
      <c r="BK73" s="30">
        <f>BJ73+BI73</f>
        <v>0</v>
      </c>
      <c r="BL73" s="3"/>
      <c r="BM73" s="1"/>
      <c r="BN73" s="1"/>
      <c r="BO73" s="1"/>
    </row>
    <row r="74" spans="1:90" s="6" customFormat="1" ht="20.100000000000001" customHeight="1" x14ac:dyDescent="0.25">
      <c r="A74" s="1"/>
      <c r="B74" s="1">
        <v>69</v>
      </c>
      <c r="C74" s="50">
        <v>70</v>
      </c>
      <c r="D74" s="51" t="str">
        <f>IF(C74&lt;B74,"▲"&amp;B74-C74,IF(C74&gt;B74,"▼"&amp;C74-B74,"—"))</f>
        <v>▼1</v>
      </c>
      <c r="E74" s="52" t="s">
        <v>63</v>
      </c>
      <c r="F74" s="53">
        <f>G74+O74+W74+AE74+BF74+BH74+BK74</f>
        <v>134.81907579044179</v>
      </c>
      <c r="G74" s="19">
        <f>IF(COUNTIF(H74:INDEX(H74:N74,$B$1),"&gt;0")=0,0,
SUMIF(H74:INDEX(H74:N74,$B$1),"&gt;0",H74:INDEX(H74:N74,$B$1))*$B$1/COUNTIF(H74:INDEX(H74:N74,$B$1),"&gt;0")*
IF($B$1-COUNTIF(H74:INDEX(H74:N74,$B$1),"&gt;0")&lt;=2,1,
IF($B$1-COUNTIF(H74:INDEX(H74:N74,$B$1),"&gt;0")=3,0.8,
IF($B$1-COUNTIF(H74:INDEX(H74:N74,$B$1),"&gt;0")=4,0.6,
IF($B$1-COUNTIF(H74:INDEX(H74:N74,$B$1),"&gt;0")=5,0.4,
IF($B$1-COUNTIF(H74:INDEX(H74:N74,$B$1),"&gt;0")=6,0.2,0))))))</f>
        <v>204</v>
      </c>
      <c r="H74" s="3">
        <v>45</v>
      </c>
      <c r="I74" s="3">
        <v>34</v>
      </c>
      <c r="J74" s="3">
        <v>38</v>
      </c>
      <c r="K74" s="3">
        <v>11</v>
      </c>
      <c r="L74" s="3">
        <v>13</v>
      </c>
      <c r="M74" s="3">
        <v>17</v>
      </c>
      <c r="N74" s="3">
        <v>46</v>
      </c>
      <c r="O74" s="13">
        <f>0.2*IF(COUNTIF(P74:INDEX(P74:V74,$B$1),"&gt;0")=0,0,
(SUMIF(P74:INDEX(P74:V74,$B$1),"&gt;0",P74:INDEX(P74:V74,$B$1))*$B$1/COUNTIF(P74:INDEX(P74:V74,$B$1),"&gt;0"))*
IF($B$1-COUNTIF(P74:INDEX(P74:V74,$B$1),"&gt;0")&lt;=2,1,
IF($B$1-COUNTIF(P74:INDEX(P74:V74,$B$1),"&gt;0")=3,0.8,
IF($B$1-COUNTIF(P74:INDEX(P74:V74,$B$1),"&gt;0")=4,0.6,
IF($B$1-COUNTIF(P74:INDEX(P74:V74,$B$1),"&gt;0")=5,0.4,
IF($B$1-COUNTIF(P74:INDEX(P74:V74,$B$1),"&gt;0")=6,0.2,0))))))</f>
        <v>62.2</v>
      </c>
      <c r="P74" s="3">
        <v>61</v>
      </c>
      <c r="Q74" s="3">
        <v>37</v>
      </c>
      <c r="R74" s="3">
        <v>53</v>
      </c>
      <c r="S74" s="3">
        <v>36</v>
      </c>
      <c r="T74" s="3">
        <v>24</v>
      </c>
      <c r="U74" s="3">
        <v>32</v>
      </c>
      <c r="V74" s="3">
        <v>68</v>
      </c>
      <c r="W74" s="3">
        <f>MIN(100,
IF($B$1&gt;=1,IFERROR(VALUE(SUBSTITUTE(SUBSTITUTE(TRIM(X74),"A",""),"B","")),0),0)+
IF($B$1&gt;=2,IFERROR(VALUE(SUBSTITUTE(SUBSTITUTE(TRIM(Y74),"A",""),"B","")),0),0)+
IF($B$1&gt;=3,IFERROR(VALUE(SUBSTITUTE(SUBSTITUTE(TRIM(Z74),"A",""),"B","")),0),0)+
IF($B$1&gt;=4,IFERROR(VALUE(SUBSTITUTE(SUBSTITUTE(TRIM(AA74),"A",""),"B","")),0),0)+
IF($B$1&gt;=5,IFERROR(VALUE(SUBSTITUTE(SUBSTITUTE(TRIM(AB74),"A",""),"B","")),0),0)+
IF($B$1&gt;=6,IFERROR(VALUE(SUBSTITUTE(SUBSTITUTE(TRIM(AC74),"A",""),"B","")),0),0)+
IF($B$1&gt;=7,IFERROR(VALUE(SUBSTITUTE(SUBSTITUTE(TRIM(AD74),"A",""),"B","")),0),0)
)</f>
        <v>20</v>
      </c>
      <c r="X74" s="3"/>
      <c r="Y74" s="3"/>
      <c r="Z74" s="3"/>
      <c r="AA74" s="3"/>
      <c r="AB74" s="3"/>
      <c r="AC74" s="3" t="s">
        <v>156</v>
      </c>
      <c r="AD74" s="3"/>
      <c r="AE74" s="13">
        <f>AH74+AK74+AN74+AQ74+AT74+AW74+AZ74+BC74</f>
        <v>4.0139904265414277</v>
      </c>
      <c r="AF74" s="13"/>
      <c r="AG74" s="13">
        <f>SQRT(AF74)</f>
        <v>0</v>
      </c>
      <c r="AH74" s="13">
        <f>IF(AG74&gt;0,AG74/AG$99*1000, 0)</f>
        <v>0</v>
      </c>
      <c r="AI74" s="13"/>
      <c r="AJ74" s="13">
        <f>SQRT(AI74)</f>
        <v>0</v>
      </c>
      <c r="AK74" s="13">
        <f>IF(AJ74&gt;0,AJ74/AJ$99*1000, 0)</f>
        <v>0</v>
      </c>
      <c r="AL74" s="13"/>
      <c r="AM74" s="13">
        <f>SQRT(AL74)</f>
        <v>0</v>
      </c>
      <c r="AN74" s="13">
        <f>IF(AM74&gt;0,AM74/AM$99*1000, 0)</f>
        <v>0</v>
      </c>
      <c r="AO74" s="13"/>
      <c r="AP74" s="13">
        <f>SQRT(AO74)</f>
        <v>0</v>
      </c>
      <c r="AQ74" s="13">
        <f>IF(AP74&gt;0,AP74/AP$99*1000, 0)</f>
        <v>0</v>
      </c>
      <c r="AR74" s="13"/>
      <c r="AS74" s="13">
        <f>SQRT(AR74)</f>
        <v>0</v>
      </c>
      <c r="AT74" s="13">
        <f>IF(AS74&gt;0,AS74/AS$99*1000, 0)</f>
        <v>0</v>
      </c>
      <c r="AU74" s="13"/>
      <c r="AV74" s="13">
        <f>SQRT(AU74)</f>
        <v>0</v>
      </c>
      <c r="AW74" s="13">
        <f>IF(AV74&gt;0,AV74/AV$99*1000, 0)</f>
        <v>0</v>
      </c>
      <c r="AX74" s="13"/>
      <c r="AY74" s="13">
        <f>SQRT(AX74)</f>
        <v>0</v>
      </c>
      <c r="AZ74" s="13">
        <f>IF(AY74&gt;0,AY74/AY$99*1000, 0)</f>
        <v>0</v>
      </c>
      <c r="BA74" s="27">
        <v>3</v>
      </c>
      <c r="BB74" s="13">
        <f>SQRT(BA74)</f>
        <v>1.7320508075688772</v>
      </c>
      <c r="BC74" s="13">
        <f>IF(BB74&gt;0,BB74/BB$99*1000, 0)</f>
        <v>4.0139904265414277</v>
      </c>
      <c r="BD74" s="24">
        <v>0.03</v>
      </c>
      <c r="BE74" s="21">
        <f>SQRT(BD74)</f>
        <v>0.17320508075688773</v>
      </c>
      <c r="BF74" s="13">
        <f>IF(BE74&gt;0, BE74/BE$99*10000, 0)</f>
        <v>44.605085363900351</v>
      </c>
      <c r="BG74" s="27"/>
      <c r="BH74" s="13">
        <f>IF(BG74&gt;0, BG74/BG$99*2000, 0)</f>
        <v>0</v>
      </c>
      <c r="BI74" s="30">
        <v>-200</v>
      </c>
      <c r="BJ74" s="30">
        <v>0</v>
      </c>
      <c r="BK74" s="30">
        <f>BJ74+BI74</f>
        <v>-200</v>
      </c>
      <c r="BL74" s="3"/>
      <c r="BM74" s="1"/>
      <c r="BN74" s="1"/>
      <c r="BO74" s="1"/>
    </row>
    <row r="75" spans="1:90" ht="20.100000000000001" customHeight="1" x14ac:dyDescent="0.25">
      <c r="B75" s="1">
        <v>71</v>
      </c>
      <c r="C75" s="50">
        <v>71</v>
      </c>
      <c r="D75" s="51" t="str">
        <f>IF(C75&lt;B75,"▲"&amp;B75-C75,IF(C75&gt;B75,"▼"&amp;C75-B75,"—"))</f>
        <v>—</v>
      </c>
      <c r="E75" s="52" t="s">
        <v>81</v>
      </c>
      <c r="F75" s="53">
        <f>G75+O75+W75+AE75+BF75+BH75+BK75</f>
        <v>94.239799383227989</v>
      </c>
      <c r="G75" s="19">
        <f>IF(COUNTIF(H75:INDEX(H75:N75,$B$1),"&gt;0")=0,0,
SUMIF(H75:INDEX(H75:N75,$B$1),"&gt;0",H75:INDEX(H75:N75,$B$1))*$B$1/COUNTIF(H75:INDEX(H75:N75,$B$1),"&gt;0")*
IF($B$1-COUNTIF(H75:INDEX(H75:N75,$B$1),"&gt;0")&lt;=2,1,
IF($B$1-COUNTIF(H75:INDEX(H75:N75,$B$1),"&gt;0")=3,0.8,
IF($B$1-COUNTIF(H75:INDEX(H75:N75,$B$1),"&gt;0")=4,0.6,
IF($B$1-COUNTIF(H75:INDEX(H75:N75,$B$1),"&gt;0")=5,0.4,
IF($B$1-COUNTIF(H75:INDEX(H75:N75,$B$1),"&gt;0")=6,0.2,0))))))</f>
        <v>140</v>
      </c>
      <c r="H75" s="3">
        <v>21</v>
      </c>
      <c r="I75" s="3">
        <v>18</v>
      </c>
      <c r="J75" s="3">
        <v>21</v>
      </c>
      <c r="K75" s="3">
        <v>21</v>
      </c>
      <c r="L75" s="3">
        <v>24</v>
      </c>
      <c r="M75" s="3">
        <v>21</v>
      </c>
      <c r="N75" s="3">
        <v>14</v>
      </c>
      <c r="O75" s="13">
        <f>0.2*IF(COUNTIF(P75:INDEX(P75:V75,$B$1),"&gt;0")=0,0,
(SUMIF(P75:INDEX(P75:V75,$B$1),"&gt;0",P75:INDEX(P75:V75,$B$1))*$B$1/COUNTIF(P75:INDEX(P75:V75,$B$1),"&gt;0"))*
IF($B$1-COUNTIF(P75:INDEX(P75:V75,$B$1),"&gt;0")&lt;=2,1,
IF($B$1-COUNTIF(P75:INDEX(P75:V75,$B$1),"&gt;0")=3,0.8,
IF($B$1-COUNTIF(P75:INDEX(P75:V75,$B$1),"&gt;0")=4,0.6,
IF($B$1-COUNTIF(P75:INDEX(P75:V75,$B$1),"&gt;0")=5,0.4,
IF($B$1-COUNTIF(P75:INDEX(P75:V75,$B$1),"&gt;0")=6,0.2,0))))))</f>
        <v>61.400000000000006</v>
      </c>
      <c r="P75" s="3">
        <v>49</v>
      </c>
      <c r="Q75" s="3">
        <v>36</v>
      </c>
      <c r="R75" s="3">
        <v>47</v>
      </c>
      <c r="S75" s="3">
        <v>43</v>
      </c>
      <c r="T75" s="3">
        <v>44</v>
      </c>
      <c r="U75" s="3">
        <v>44</v>
      </c>
      <c r="V75" s="3">
        <v>44</v>
      </c>
      <c r="W75" s="3">
        <f>MIN(100,
IF($B$1&gt;=1,IFERROR(VALUE(SUBSTITUTE(SUBSTITUTE(TRIM(X75),"A",""),"B","")),0),0)+
IF($B$1&gt;=2,IFERROR(VALUE(SUBSTITUTE(SUBSTITUTE(TRIM(Y75),"A",""),"B","")),0),0)+
IF($B$1&gt;=3,IFERROR(VALUE(SUBSTITUTE(SUBSTITUTE(TRIM(Z75),"A",""),"B","")),0),0)+
IF($B$1&gt;=4,IFERROR(VALUE(SUBSTITUTE(SUBSTITUTE(TRIM(AA75),"A",""),"B","")),0),0)+
IF($B$1&gt;=5,IFERROR(VALUE(SUBSTITUTE(SUBSTITUTE(TRIM(AB75),"A",""),"B","")),0),0)+
IF($B$1&gt;=6,IFERROR(VALUE(SUBSTITUTE(SUBSTITUTE(TRIM(AC75),"A",""),"B","")),0),0)+
IF($B$1&gt;=7,IFERROR(VALUE(SUBSTITUTE(SUBSTITUTE(TRIM(AD75),"A",""),"B","")),0),0)
)</f>
        <v>20</v>
      </c>
      <c r="X75" s="3"/>
      <c r="AC75" s="3" t="s">
        <v>156</v>
      </c>
      <c r="AE75" s="13">
        <f>AH75+AK75+AN75+AQ75+AT75+AW75+AZ75+BC75</f>
        <v>0</v>
      </c>
      <c r="AG75" s="13">
        <f>SQRT(AF75)</f>
        <v>0</v>
      </c>
      <c r="AH75" s="13">
        <f>IF(AG75&gt;0,AG75/AG$99*1000, 0)</f>
        <v>0</v>
      </c>
      <c r="AI75" s="13"/>
      <c r="AJ75" s="13">
        <f>SQRT(AI75)</f>
        <v>0</v>
      </c>
      <c r="AK75" s="13">
        <f>IF(AJ75&gt;0,AJ75/AJ$99*1000, 0)</f>
        <v>0</v>
      </c>
      <c r="AM75" s="13">
        <f>SQRT(AL75)</f>
        <v>0</v>
      </c>
      <c r="AN75" s="13">
        <f>IF(AM75&gt;0,AM75/AM$99*1000, 0)</f>
        <v>0</v>
      </c>
      <c r="AP75" s="13">
        <f>SQRT(AO75)</f>
        <v>0</v>
      </c>
      <c r="AQ75" s="13">
        <f>IF(AP75&gt;0,AP75/AP$99*1000, 0)</f>
        <v>0</v>
      </c>
      <c r="AS75" s="13">
        <f>SQRT(AR75)</f>
        <v>0</v>
      </c>
      <c r="AT75" s="13">
        <f>IF(AS75&gt;0,AS75/AS$99*1000, 0)</f>
        <v>0</v>
      </c>
      <c r="AV75" s="13">
        <f>SQRT(AU75)</f>
        <v>0</v>
      </c>
      <c r="AW75" s="13">
        <f>IF(AV75&gt;0,AV75/AV$99*1000, 0)</f>
        <v>0</v>
      </c>
      <c r="AY75" s="13">
        <f>SQRT(AX75)</f>
        <v>0</v>
      </c>
      <c r="AZ75" s="13">
        <f>IF(AY75&gt;0,AY75/AY$99*1000, 0)</f>
        <v>0</v>
      </c>
      <c r="BB75" s="13">
        <f>SQRT(BA75)</f>
        <v>0</v>
      </c>
      <c r="BC75" s="13">
        <f>IF(BB75&gt;0,BB75/BB$99*1000, 0)</f>
        <v>0</v>
      </c>
      <c r="BD75" s="24">
        <v>0.08</v>
      </c>
      <c r="BE75" s="21">
        <f>SQRT(BD75)</f>
        <v>0.28284271247461901</v>
      </c>
      <c r="BF75" s="13">
        <f>IF(BE75&gt;0, BE75/BE$99*10000, 0)</f>
        <v>72.83979938322797</v>
      </c>
      <c r="BH75" s="13">
        <f>IF(BG75&gt;0, BG75/BG$99*2000, 0)</f>
        <v>0</v>
      </c>
      <c r="BI75" s="30">
        <v>-200</v>
      </c>
      <c r="BJ75" s="30">
        <v>0</v>
      </c>
      <c r="BK75" s="30">
        <f>BJ75+BI75</f>
        <v>-200</v>
      </c>
      <c r="BL75" s="3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</row>
    <row r="76" spans="1:90" ht="20.100000000000001" customHeight="1" x14ac:dyDescent="0.25">
      <c r="B76" s="1">
        <v>70</v>
      </c>
      <c r="C76" s="50">
        <v>72</v>
      </c>
      <c r="D76" s="51" t="str">
        <f>IF(C76&lt;B76,"▲"&amp;B76-C76,IF(C76&gt;B76,"▼"&amp;C76-B76,"—"))</f>
        <v>▼2</v>
      </c>
      <c r="E76" s="52" t="s">
        <v>78</v>
      </c>
      <c r="F76" s="53">
        <f>G76+O76+W76+AE76+BF76+BH76+BK76</f>
        <v>86.386726532189641</v>
      </c>
      <c r="G76" s="19">
        <f>IF(COUNTIF(H76:INDEX(H76:N76,$B$1),"&gt;0")=0,0,
SUMIF(H76:INDEX(H76:N76,$B$1),"&gt;0",H76:INDEX(H76:N76,$B$1))*$B$1/COUNTIF(H76:INDEX(H76:N76,$B$1),"&gt;0")*
IF($B$1-COUNTIF(H76:INDEX(H76:N76,$B$1),"&gt;0")&lt;=2,1,
IF($B$1-COUNTIF(H76:INDEX(H76:N76,$B$1),"&gt;0")=3,0.8,
IF($B$1-COUNTIF(H76:INDEX(H76:N76,$B$1),"&gt;0")=4,0.6,
IF($B$1-COUNTIF(H76:INDEX(H76:N76,$B$1),"&gt;0")=5,0.4,
IF($B$1-COUNTIF(H76:INDEX(H76:N76,$B$1),"&gt;0")=6,0.2,0))))))</f>
        <v>181</v>
      </c>
      <c r="H76" s="3">
        <v>22</v>
      </c>
      <c r="I76" s="3">
        <v>24</v>
      </c>
      <c r="J76" s="3">
        <v>32</v>
      </c>
      <c r="K76" s="3">
        <v>46</v>
      </c>
      <c r="L76" s="3">
        <v>27</v>
      </c>
      <c r="M76" s="3">
        <v>13</v>
      </c>
      <c r="N76" s="3">
        <v>17</v>
      </c>
      <c r="O76" s="13">
        <f>0.2*IF(COUNTIF(P76:INDEX(P76:V76,$B$1),"&gt;0")=0,0,
(SUMIF(P76:INDEX(P76:V76,$B$1),"&gt;0",P76:INDEX(P76:V76,$B$1))*$B$1/COUNTIF(P76:INDEX(P76:V76,$B$1),"&gt;0"))*
IF($B$1-COUNTIF(P76:INDEX(P76:V76,$B$1),"&gt;0")&lt;=2,1,
IF($B$1-COUNTIF(P76:INDEX(P76:V76,$B$1),"&gt;0")=3,0.8,
IF($B$1-COUNTIF(P76:INDEX(P76:V76,$B$1),"&gt;0")=4,0.6,
IF($B$1-COUNTIF(P76:INDEX(P76:V76,$B$1),"&gt;0")=5,0.4,
IF($B$1-COUNTIF(P76:INDEX(P76:V76,$B$1),"&gt;0")=6,0.2,0))))))</f>
        <v>38</v>
      </c>
      <c r="P76" s="3">
        <v>33</v>
      </c>
      <c r="Q76" s="3">
        <v>28</v>
      </c>
      <c r="R76" s="3">
        <v>35</v>
      </c>
      <c r="S76" s="3">
        <v>25</v>
      </c>
      <c r="T76" s="3">
        <v>30</v>
      </c>
      <c r="U76" s="3">
        <v>17</v>
      </c>
      <c r="V76" s="3">
        <v>22</v>
      </c>
      <c r="W76" s="3">
        <f>MIN(100,
IF($B$1&gt;=1,IFERROR(VALUE(SUBSTITUTE(SUBSTITUTE(TRIM(X76),"A",""),"B","")),0),0)+
IF($B$1&gt;=2,IFERROR(VALUE(SUBSTITUTE(SUBSTITUTE(TRIM(Y76),"A",""),"B","")),0),0)+
IF($B$1&gt;=3,IFERROR(VALUE(SUBSTITUTE(SUBSTITUTE(TRIM(Z76),"A",""),"B","")),0),0)+
IF($B$1&gt;=4,IFERROR(VALUE(SUBSTITUTE(SUBSTITUTE(TRIM(AA76),"A",""),"B","")),0),0)+
IF($B$1&gt;=5,IFERROR(VALUE(SUBSTITUTE(SUBSTITUTE(TRIM(AB76),"A",""),"B","")),0),0)+
IF($B$1&gt;=6,IFERROR(VALUE(SUBSTITUTE(SUBSTITUTE(TRIM(AC76),"A",""),"B","")),0),0)+
IF($B$1&gt;=7,IFERROR(VALUE(SUBSTITUTE(SUBSTITUTE(TRIM(AD76),"A",""),"B","")),0),0)
)</f>
        <v>20</v>
      </c>
      <c r="X76" s="3"/>
      <c r="AC76" s="3" t="s">
        <v>156</v>
      </c>
      <c r="AE76" s="13">
        <f>AH76+AK76+AN76+AQ76+AT76+AW76+AZ76+BC76</f>
        <v>0</v>
      </c>
      <c r="AG76" s="13">
        <f>SQRT(AF76)</f>
        <v>0</v>
      </c>
      <c r="AH76" s="13">
        <f>IF(AG76&gt;0,AG76/AG$99*1000, 0)</f>
        <v>0</v>
      </c>
      <c r="AI76" s="13"/>
      <c r="AJ76" s="13">
        <f>SQRT(AI76)</f>
        <v>0</v>
      </c>
      <c r="AK76" s="13">
        <f>IF(AJ76&gt;0,AJ76/AJ$99*1000, 0)</f>
        <v>0</v>
      </c>
      <c r="AM76" s="13">
        <f>SQRT(AL76)</f>
        <v>0</v>
      </c>
      <c r="AN76" s="13">
        <f>IF(AM76&gt;0,AM76/AM$99*1000, 0)</f>
        <v>0</v>
      </c>
      <c r="AP76" s="13">
        <f>SQRT(AO76)</f>
        <v>0</v>
      </c>
      <c r="AQ76" s="13">
        <f>IF(AP76&gt;0,AP76/AP$99*1000, 0)</f>
        <v>0</v>
      </c>
      <c r="AS76" s="13">
        <f>SQRT(AR76)</f>
        <v>0</v>
      </c>
      <c r="AT76" s="13">
        <f>IF(AS76&gt;0,AS76/AS$99*1000, 0)</f>
        <v>0</v>
      </c>
      <c r="AV76" s="13">
        <f>SQRT(AU76)</f>
        <v>0</v>
      </c>
      <c r="AW76" s="13">
        <f>IF(AV76&gt;0,AV76/AV$99*1000, 0)</f>
        <v>0</v>
      </c>
      <c r="AY76" s="13">
        <f>SQRT(AX76)</f>
        <v>0</v>
      </c>
      <c r="AZ76" s="13">
        <f>IF(AY76&gt;0,AY76/AY$99*1000, 0)</f>
        <v>0</v>
      </c>
      <c r="BB76" s="13">
        <f>SQRT(BA76)</f>
        <v>0</v>
      </c>
      <c r="BC76" s="13">
        <f>IF(BB76&gt;0,BB76/BB$99*1000, 0)</f>
        <v>0</v>
      </c>
      <c r="BD76" s="24">
        <v>0.03</v>
      </c>
      <c r="BE76" s="21">
        <f>SQRT(BD76)</f>
        <v>0.17320508075688773</v>
      </c>
      <c r="BF76" s="13">
        <f>IF(BE76&gt;0, BE76/BE$99*10000, 0)</f>
        <v>44.605085363900351</v>
      </c>
      <c r="BG76" s="27">
        <v>1</v>
      </c>
      <c r="BH76" s="13">
        <f>IF(BG76&gt;0, BG76/BG$99*2000, 0)</f>
        <v>2.7816411682892905</v>
      </c>
      <c r="BI76" s="30">
        <v>-200</v>
      </c>
      <c r="BJ76" s="30">
        <v>0</v>
      </c>
      <c r="BK76" s="30">
        <f>BJ76+BI76</f>
        <v>-200</v>
      </c>
      <c r="BL76" s="7"/>
      <c r="BM76" s="3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</row>
    <row r="77" spans="1:90" ht="20.100000000000001" customHeight="1" x14ac:dyDescent="0.25">
      <c r="B77" s="1">
        <v>72</v>
      </c>
      <c r="C77" s="50">
        <v>73</v>
      </c>
      <c r="D77" s="51" t="str">
        <f>IF(C77&lt;B77,"▲"&amp;B77-C77,IF(C77&gt;B77,"▼"&amp;C77-B77,"—"))</f>
        <v>▼1</v>
      </c>
      <c r="E77" s="52" t="s">
        <v>80</v>
      </c>
      <c r="F77" s="53">
        <f>G77+O77+W77+AE77+BF77+BH77+BK77</f>
        <v>77.019899691614</v>
      </c>
      <c r="G77" s="19">
        <f>IF(COUNTIF(H77:INDEX(H77:N77,$B$1),"&gt;0")=0,0,
SUMIF(H77:INDEX(H77:N77,$B$1),"&gt;0",H77:INDEX(H77:N77,$B$1))*$B$1/COUNTIF(H77:INDEX(H77:N77,$B$1),"&gt;0")*
IF($B$1-COUNTIF(H77:INDEX(H77:N77,$B$1),"&gt;0")&lt;=2,1,
IF($B$1-COUNTIF(H77:INDEX(H77:N77,$B$1),"&gt;0")=3,0.8,
IF($B$1-COUNTIF(H77:INDEX(H77:N77,$B$1),"&gt;0")=4,0.6,
IF($B$1-COUNTIF(H77:INDEX(H77:N77,$B$1),"&gt;0")=5,0.4,
IF($B$1-COUNTIF(H77:INDEX(H77:N77,$B$1),"&gt;0")=6,0.2,0))))))</f>
        <v>183</v>
      </c>
      <c r="H77" s="3">
        <v>17</v>
      </c>
      <c r="I77" s="3">
        <v>43</v>
      </c>
      <c r="J77" s="3">
        <v>19</v>
      </c>
      <c r="K77" s="3">
        <v>40</v>
      </c>
      <c r="L77" s="3">
        <v>18</v>
      </c>
      <c r="M77" s="3">
        <v>14</v>
      </c>
      <c r="N77" s="3">
        <v>32</v>
      </c>
      <c r="O77" s="13">
        <f>0.2*IF(COUNTIF(P77:INDEX(P77:V77,$B$1),"&gt;0")=0,0,
(SUMIF(P77:INDEX(P77:V77,$B$1),"&gt;0",P77:INDEX(P77:V77,$B$1))*$B$1/COUNTIF(P77:INDEX(P77:V77,$B$1),"&gt;0"))*
IF($B$1-COUNTIF(P77:INDEX(P77:V77,$B$1),"&gt;0")&lt;=2,1,
IF($B$1-COUNTIF(P77:INDEX(P77:V77,$B$1),"&gt;0")=3,0.8,
IF($B$1-COUNTIF(P77:INDEX(P77:V77,$B$1),"&gt;0")=4,0.6,
IF($B$1-COUNTIF(P77:INDEX(P77:V77,$B$1),"&gt;0")=5,0.4,
IF($B$1-COUNTIF(P77:INDEX(P77:V77,$B$1),"&gt;0")=6,0.2,0))))))</f>
        <v>37.6</v>
      </c>
      <c r="P77" s="3">
        <v>31</v>
      </c>
      <c r="Q77" s="3">
        <v>32</v>
      </c>
      <c r="R77" s="3">
        <v>27</v>
      </c>
      <c r="S77" s="3">
        <v>29</v>
      </c>
      <c r="T77" s="3">
        <v>20</v>
      </c>
      <c r="U77" s="3">
        <v>24</v>
      </c>
      <c r="V77" s="3">
        <v>25</v>
      </c>
      <c r="W77" s="3">
        <f>MIN(100,
IF($B$1&gt;=1,IFERROR(VALUE(SUBSTITUTE(SUBSTITUTE(TRIM(X77),"A",""),"B","")),0),0)+
IF($B$1&gt;=2,IFERROR(VALUE(SUBSTITUTE(SUBSTITUTE(TRIM(Y77),"A",""),"B","")),0),0)+
IF($B$1&gt;=3,IFERROR(VALUE(SUBSTITUTE(SUBSTITUTE(TRIM(Z77),"A",""),"B","")),0),0)+
IF($B$1&gt;=4,IFERROR(VALUE(SUBSTITUTE(SUBSTITUTE(TRIM(AA77),"A",""),"B","")),0),0)+
IF($B$1&gt;=5,IFERROR(VALUE(SUBSTITUTE(SUBSTITUTE(TRIM(AB77),"A",""),"B","")),0),0)+
IF($B$1&gt;=6,IFERROR(VALUE(SUBSTITUTE(SUBSTITUTE(TRIM(AC77),"A",""),"B","")),0),0)+
IF($B$1&gt;=7,IFERROR(VALUE(SUBSTITUTE(SUBSTITUTE(TRIM(AD77),"A",""),"B","")),0),0)
)</f>
        <v>20</v>
      </c>
      <c r="X77" s="3"/>
      <c r="AC77" s="3" t="s">
        <v>156</v>
      </c>
      <c r="AE77" s="13">
        <f>AH77+AK77+AN77+AQ77+AT77+AW77+AZ77+BC77</f>
        <v>0</v>
      </c>
      <c r="AG77" s="13">
        <f>SQRT(AF77)</f>
        <v>0</v>
      </c>
      <c r="AH77" s="13">
        <f>IF(AG77&gt;0,AG77/AG$99*1000, 0)</f>
        <v>0</v>
      </c>
      <c r="AI77" s="13"/>
      <c r="AJ77" s="13">
        <f>SQRT(AI77)</f>
        <v>0</v>
      </c>
      <c r="AK77" s="13">
        <f>IF(AJ77&gt;0,AJ77/AJ$99*1000, 0)</f>
        <v>0</v>
      </c>
      <c r="AM77" s="13">
        <f>SQRT(AL77)</f>
        <v>0</v>
      </c>
      <c r="AN77" s="13">
        <f>IF(AM77&gt;0,AM77/AM$99*1000, 0)</f>
        <v>0</v>
      </c>
      <c r="AP77" s="13">
        <f>SQRT(AO77)</f>
        <v>0</v>
      </c>
      <c r="AQ77" s="13">
        <f>IF(AP77&gt;0,AP77/AP$99*1000, 0)</f>
        <v>0</v>
      </c>
      <c r="AS77" s="13">
        <f>SQRT(AR77)</f>
        <v>0</v>
      </c>
      <c r="AT77" s="13">
        <f>IF(AS77&gt;0,AS77/AS$99*1000, 0)</f>
        <v>0</v>
      </c>
      <c r="AV77" s="13">
        <f>SQRT(AU77)</f>
        <v>0</v>
      </c>
      <c r="AW77" s="13">
        <f>IF(AV77&gt;0,AV77/AV$99*1000, 0)</f>
        <v>0</v>
      </c>
      <c r="AY77" s="13">
        <f>SQRT(AX77)</f>
        <v>0</v>
      </c>
      <c r="AZ77" s="13">
        <f>IF(AY77&gt;0,AY77/AY$99*1000, 0)</f>
        <v>0</v>
      </c>
      <c r="BB77" s="13">
        <f>SQRT(BA77)</f>
        <v>0</v>
      </c>
      <c r="BC77" s="13">
        <f>IF(BB77&gt;0,BB77/BB$99*1000, 0)</f>
        <v>0</v>
      </c>
      <c r="BD77" s="24">
        <v>0.02</v>
      </c>
      <c r="BE77" s="21">
        <f>SQRT(BD77)</f>
        <v>0.1414213562373095</v>
      </c>
      <c r="BF77" s="13">
        <f>IF(BE77&gt;0, BE77/BE$99*10000, 0)</f>
        <v>36.419899691613985</v>
      </c>
      <c r="BH77" s="13">
        <f>IF(BG77&gt;0, BG77/BG$99*2000, 0)</f>
        <v>0</v>
      </c>
      <c r="BI77" s="30">
        <v>-200</v>
      </c>
      <c r="BJ77" s="30">
        <v>0</v>
      </c>
      <c r="BK77" s="30">
        <f>BJ77+BI77</f>
        <v>-200</v>
      </c>
      <c r="BL77" s="7"/>
      <c r="BM77" s="3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</row>
    <row r="78" spans="1:90" ht="20.100000000000001" customHeight="1" x14ac:dyDescent="0.25">
      <c r="B78" s="1">
        <v>93</v>
      </c>
      <c r="C78" s="50">
        <v>74</v>
      </c>
      <c r="D78" s="51" t="str">
        <f>IF(C78&lt;B78,"▲"&amp;B78-C78,IF(C78&gt;B78,"▼"&amp;C78-B78,"—"))</f>
        <v>▲19</v>
      </c>
      <c r="E78" s="52" t="s">
        <v>178</v>
      </c>
      <c r="F78" s="53">
        <v>0</v>
      </c>
      <c r="G78" s="19">
        <f>IF(COUNTIF(H78:INDEX(H78:N78,$B$1),"&gt;0")=0,0,
SUMIF(H78:INDEX(H78:N78,$B$1),"&gt;0",H78:INDEX(H78:N78,$B$1))*$B$1/COUNTIF(H78:INDEX(H78:N78,$B$1),"&gt;0")*
IF($B$1-COUNTIF(H78:INDEX(H78:N78,$B$1),"&gt;0")&lt;=2,1,
IF($B$1-COUNTIF(H78:INDEX(H78:N78,$B$1),"&gt;0")=3,0.8,
IF($B$1-COUNTIF(H78:INDEX(H78:N78,$B$1),"&gt;0")=4,0.6,
IF($B$1-COUNTIF(H78:INDEX(H78:N78,$B$1),"&gt;0")=5,0.4,
IF($B$1-COUNTIF(H78:INDEX(H78:N78,$B$1),"&gt;0")=6,0.2,0))))))</f>
        <v>0</v>
      </c>
      <c r="H78" s="3">
        <v>-1</v>
      </c>
      <c r="I78" s="3">
        <v>-1</v>
      </c>
      <c r="J78" s="3">
        <v>-1</v>
      </c>
      <c r="K78" s="3">
        <v>-1</v>
      </c>
      <c r="L78" s="3">
        <v>-1</v>
      </c>
      <c r="M78" s="3">
        <v>-1</v>
      </c>
      <c r="N78" s="3">
        <v>-1</v>
      </c>
      <c r="O78" s="13">
        <f>0.2*IF(COUNTIF(P78:INDEX(P78:V78,$B$1),"&gt;0")=0,0,
(SUMIF(P78:INDEX(P78:V78,$B$1),"&gt;0",P78:INDEX(P78:V78,$B$1))*$B$1/COUNTIF(P78:INDEX(P78:V78,$B$1),"&gt;0"))*
IF($B$1-COUNTIF(P78:INDEX(P78:V78,$B$1),"&gt;0")&lt;=2,1,
IF($B$1-COUNTIF(P78:INDEX(P78:V78,$B$1),"&gt;0")=3,0.8,
IF($B$1-COUNTIF(P78:INDEX(P78:V78,$B$1),"&gt;0")=4,0.6,
IF($B$1-COUNTIF(P78:INDEX(P78:V78,$B$1),"&gt;0")=5,0.4,
IF($B$1-COUNTIF(P78:INDEX(P78:V78,$B$1),"&gt;0")=6,0.2,0))))))</f>
        <v>0</v>
      </c>
      <c r="P78" s="3">
        <v>-1</v>
      </c>
      <c r="Q78" s="3">
        <v>-1</v>
      </c>
      <c r="R78" s="3">
        <v>-1</v>
      </c>
      <c r="S78" s="3">
        <v>-1</v>
      </c>
      <c r="T78" s="3">
        <v>-1</v>
      </c>
      <c r="U78" s="3">
        <v>-1</v>
      </c>
      <c r="V78" s="3">
        <v>-1</v>
      </c>
      <c r="W78" s="3">
        <f>MIN(100,
IF($B$1&gt;=1,IFERROR(VALUE(SUBSTITUTE(SUBSTITUTE(TRIM(X78),"A",""),"B","")),0),0)+
IF($B$1&gt;=2,IFERROR(VALUE(SUBSTITUTE(SUBSTITUTE(TRIM(Y78),"A",""),"B","")),0),0)+
IF($B$1&gt;=3,IFERROR(VALUE(SUBSTITUTE(SUBSTITUTE(TRIM(Z78),"A",""),"B","")),0),0)+
IF($B$1&gt;=4,IFERROR(VALUE(SUBSTITUTE(SUBSTITUTE(TRIM(AA78),"A",""),"B","")),0),0)+
IF($B$1&gt;=5,IFERROR(VALUE(SUBSTITUTE(SUBSTITUTE(TRIM(AB78),"A",""),"B","")),0),0)+
IF($B$1&gt;=6,IFERROR(VALUE(SUBSTITUTE(SUBSTITUTE(TRIM(AC78),"A",""),"B","")),0),0)+
IF($B$1&gt;=7,IFERROR(VALUE(SUBSTITUTE(SUBSTITUTE(TRIM(AD78),"A",""),"B","")),0),0)
)</f>
        <v>0</v>
      </c>
      <c r="X78" s="3"/>
      <c r="AE78" s="13">
        <f>AH78+AK78+AN78+AQ78+AW78+AZ78+BC78</f>
        <v>0</v>
      </c>
      <c r="AG78" s="13">
        <f>SQRT(AF78)</f>
        <v>0</v>
      </c>
      <c r="AH78" s="13">
        <f>IF(AG78&gt;0,AG78/AG$99*1000, 0)</f>
        <v>0</v>
      </c>
      <c r="AI78" s="13"/>
      <c r="AJ78" s="13">
        <f>SQRT(AI78)</f>
        <v>0</v>
      </c>
      <c r="AK78" s="13">
        <f>IF(AJ78&gt;0,AJ78/AJ$99*1000, 0)</f>
        <v>0</v>
      </c>
      <c r="AM78" s="13">
        <f>SQRT(AL78)</f>
        <v>0</v>
      </c>
      <c r="AN78" s="13">
        <f>IF(AM78&gt;0,AM78/AM$99*1000, 0)</f>
        <v>0</v>
      </c>
      <c r="AP78" s="13">
        <f>SQRT(AO78)</f>
        <v>0</v>
      </c>
      <c r="AQ78" s="13">
        <f>IF(AP78&gt;0,AP78/AP$99*1000, 0)</f>
        <v>0</v>
      </c>
      <c r="AS78" s="13">
        <f>SQRT(AR78)</f>
        <v>0</v>
      </c>
      <c r="AT78" s="13">
        <f>IF(AS78&gt;0,AS78/AS$99*1000, 0)</f>
        <v>0</v>
      </c>
      <c r="AV78" s="13">
        <f>SQRT(AU78)</f>
        <v>0</v>
      </c>
      <c r="AW78" s="13">
        <f>IF(AV78&gt;0,AV78/AV$99*1000, 0)</f>
        <v>0</v>
      </c>
      <c r="AY78" s="13">
        <f>SQRT(AX78)</f>
        <v>0</v>
      </c>
      <c r="AZ78" s="13">
        <f>IF(AY78&gt;0,AY78/AY$99*1000, 0)</f>
        <v>0</v>
      </c>
      <c r="BB78" s="13">
        <f>SQRT(BA78)</f>
        <v>0</v>
      </c>
      <c r="BC78" s="13">
        <f>IF(BB78&gt;0,BB78/BB$99*1000, 0)</f>
        <v>0</v>
      </c>
      <c r="BE78" s="21">
        <f>SQRT(BD78)</f>
        <v>0</v>
      </c>
      <c r="BF78" s="13">
        <f>IF(BE78&gt;0, BE78/BE$99*10000, 0)</f>
        <v>0</v>
      </c>
      <c r="BH78" s="13">
        <f>IF(BG78&gt;0, BG78/BG$99*2000, 0)</f>
        <v>0</v>
      </c>
      <c r="BI78" s="30"/>
      <c r="BK78" s="30">
        <f>BJ78+BI78</f>
        <v>0</v>
      </c>
      <c r="BL78" s="7"/>
      <c r="BM78" s="3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</row>
    <row r="79" spans="1:90" ht="20.100000000000001" customHeight="1" x14ac:dyDescent="0.25">
      <c r="B79" s="1">
        <v>74</v>
      </c>
      <c r="C79" s="50">
        <v>75</v>
      </c>
      <c r="D79" s="51" t="str">
        <f>IF(C79&lt;B79,"▲"&amp;B79-C79,IF(C79&gt;B79,"▼"&amp;C79-B79,"—"))</f>
        <v>▼1</v>
      </c>
      <c r="E79" s="52" t="s">
        <v>65</v>
      </c>
      <c r="F79" s="53">
        <f>G79+O79+W79+AE79+BF79+BH79+BK79</f>
        <v>-14.663264599042122</v>
      </c>
      <c r="G79" s="19">
        <f>IF(COUNTIF(H79:INDEX(H79:N79,$B$1),"&gt;0")=0,0,
SUMIF(H79:INDEX(H79:N79,$B$1),"&gt;0",H79:INDEX(H79:N79,$B$1))*$B$1/COUNTIF(H79:INDEX(H79:N79,$B$1),"&gt;0")*
IF($B$1-COUNTIF(H79:INDEX(H79:N79,$B$1),"&gt;0")&lt;=2,1,
IF($B$1-COUNTIF(H79:INDEX(H79:N79,$B$1),"&gt;0")=3,0.8,
IF($B$1-COUNTIF(H79:INDEX(H79:N79,$B$1),"&gt;0")=4,0.6,
IF($B$1-COUNTIF(H79:INDEX(H79:N79,$B$1),"&gt;0")=5,0.4,
IF($B$1-COUNTIF(H79:INDEX(H79:N79,$B$1),"&gt;0")=6,0.2,0))))))</f>
        <v>303</v>
      </c>
      <c r="H79" s="3">
        <v>35</v>
      </c>
      <c r="I79" s="3">
        <v>39</v>
      </c>
      <c r="J79" s="3">
        <v>41</v>
      </c>
      <c r="K79" s="3">
        <v>56</v>
      </c>
      <c r="L79" s="3">
        <v>40</v>
      </c>
      <c r="M79" s="3">
        <v>31</v>
      </c>
      <c r="N79" s="3">
        <v>61</v>
      </c>
      <c r="O79" s="13">
        <f>0.2*IF(COUNTIF(P79:INDEX(P79:V79,$B$1),"&gt;0")=0,0,
(SUMIF(P79:INDEX(P79:V79,$B$1),"&gt;0",P79:INDEX(P79:V79,$B$1))*$B$1/COUNTIF(P79:INDEX(P79:V79,$B$1),"&gt;0"))*
IF($B$1-COUNTIF(P79:INDEX(P79:V79,$B$1),"&gt;0")&lt;=2,1,
IF($B$1-COUNTIF(P79:INDEX(P79:V79,$B$1),"&gt;0")=3,0.8,
IF($B$1-COUNTIF(P79:INDEX(P79:V79,$B$1),"&gt;0")=4,0.6,
IF($B$1-COUNTIF(P79:INDEX(P79:V79,$B$1),"&gt;0")=5,0.4,
IF($B$1-COUNTIF(P79:INDEX(P79:V79,$B$1),"&gt;0")=6,0.2,0))))))</f>
        <v>62</v>
      </c>
      <c r="P79" s="3">
        <v>48</v>
      </c>
      <c r="Q79" s="3">
        <v>42</v>
      </c>
      <c r="R79" s="3">
        <v>45</v>
      </c>
      <c r="S79" s="3">
        <v>46</v>
      </c>
      <c r="T79" s="3">
        <v>43</v>
      </c>
      <c r="U79" s="3">
        <v>40</v>
      </c>
      <c r="V79" s="3">
        <v>46</v>
      </c>
      <c r="W79" s="3">
        <f>MIN(100,
IF($B$1&gt;=1,IFERROR(VALUE(SUBSTITUTE(SUBSTITUTE(TRIM(X79),"A",""),"B","")),0),0)+
IF($B$1&gt;=2,IFERROR(VALUE(SUBSTITUTE(SUBSTITUTE(TRIM(Y79),"A",""),"B","")),0),0)+
IF($B$1&gt;=3,IFERROR(VALUE(SUBSTITUTE(SUBSTITUTE(TRIM(Z79),"A",""),"B","")),0),0)+
IF($B$1&gt;=4,IFERROR(VALUE(SUBSTITUTE(SUBSTITUTE(TRIM(AA79),"A",""),"B","")),0),0)+
IF($B$1&gt;=5,IFERROR(VALUE(SUBSTITUTE(SUBSTITUTE(TRIM(AB79),"A",""),"B","")),0),0)+
IF($B$1&gt;=6,IFERROR(VALUE(SUBSTITUTE(SUBSTITUTE(TRIM(AC79),"A",""),"B","")),0),0)+
IF($B$1&gt;=7,IFERROR(VALUE(SUBSTITUTE(SUBSTITUTE(TRIM(AD79),"A",""),"B","")),0),0)
)</f>
        <v>20</v>
      </c>
      <c r="X79" s="3"/>
      <c r="AC79" s="3" t="s">
        <v>156</v>
      </c>
      <c r="AE79" s="13">
        <f>AH79+AK79+AN79+AQ79+AT79+AW79+AZ79+BC79</f>
        <v>0</v>
      </c>
      <c r="AG79" s="13">
        <f>SQRT(AF79)</f>
        <v>0</v>
      </c>
      <c r="AH79" s="13">
        <f>IF(AG79&gt;0,AG79/AG$99*1000, 0)</f>
        <v>0</v>
      </c>
      <c r="AI79" s="13"/>
      <c r="AJ79" s="13">
        <f>SQRT(AI79)</f>
        <v>0</v>
      </c>
      <c r="AK79" s="13">
        <f>IF(AJ79&gt;0,AJ79/AJ$99*1000, 0)</f>
        <v>0</v>
      </c>
      <c r="AM79" s="13">
        <f>SQRT(AL79)</f>
        <v>0</v>
      </c>
      <c r="AN79" s="13">
        <f>IF(AM79&gt;0,AM79/AM$99*1000, 0)</f>
        <v>0</v>
      </c>
      <c r="AP79" s="13">
        <f>SQRT(AO79)</f>
        <v>0</v>
      </c>
      <c r="AQ79" s="13">
        <f>IF(AP79&gt;0,AP79/AP$99*1000, 0)</f>
        <v>0</v>
      </c>
      <c r="AS79" s="13">
        <f>SQRT(AR79)</f>
        <v>0</v>
      </c>
      <c r="AT79" s="13">
        <f>IF(AS79&gt;0,AS79/AS$99*1000, 0)</f>
        <v>0</v>
      </c>
      <c r="AV79" s="13">
        <f>SQRT(AU79)</f>
        <v>0</v>
      </c>
      <c r="AW79" s="13">
        <f>IF(AV79&gt;0,AV79/AV$99*1000, 0)</f>
        <v>0</v>
      </c>
      <c r="AY79" s="13">
        <f>SQRT(AX79)</f>
        <v>0</v>
      </c>
      <c r="AZ79" s="13">
        <f>IF(AY79&gt;0,AY79/AY$99*1000, 0)</f>
        <v>0</v>
      </c>
      <c r="BB79" s="13">
        <f>SQRT(BA79)</f>
        <v>0</v>
      </c>
      <c r="BC79" s="13">
        <f>IF(BB79&gt;0,BB79/BB$99*1000, 0)</f>
        <v>0</v>
      </c>
      <c r="BD79" s="24">
        <v>0.12</v>
      </c>
      <c r="BE79" s="21">
        <f>SQRT(BD79)</f>
        <v>0.34641016151377546</v>
      </c>
      <c r="BF79" s="13">
        <f>IF(BE79&gt;0, BE79/BE$99*10000, 0)</f>
        <v>89.210170727800701</v>
      </c>
      <c r="BG79" s="27">
        <v>4</v>
      </c>
      <c r="BH79" s="13">
        <f>IF(BG79&gt;0, BG79/BG$99*2000, 0)</f>
        <v>11.126564673157162</v>
      </c>
      <c r="BI79" s="30">
        <v>-200</v>
      </c>
      <c r="BJ79" s="30">
        <v>-300</v>
      </c>
      <c r="BK79" s="30">
        <f>BJ79+BI79</f>
        <v>-500</v>
      </c>
      <c r="BL79" s="7"/>
      <c r="BM79" s="3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</row>
    <row r="80" spans="1:90" ht="20.100000000000001" customHeight="1" x14ac:dyDescent="0.25">
      <c r="B80" s="1">
        <v>73</v>
      </c>
      <c r="C80" s="50">
        <v>76</v>
      </c>
      <c r="D80" s="51" t="str">
        <f>IF(C80&lt;B80,"▲"&amp;B80-C80,IF(C80&gt;B80,"▼"&amp;C80-B80,"—"))</f>
        <v>▼3</v>
      </c>
      <c r="E80" s="52" t="s">
        <v>83</v>
      </c>
      <c r="F80" s="53">
        <f>G80+O80+W80+AE80+BF80+BH80+BK80</f>
        <v>-17.682965478363997</v>
      </c>
      <c r="G80" s="19">
        <f>IF(COUNTIF(H80:INDEX(H80:N80,$B$1),"&gt;0")=0,0,
SUMIF(H80:INDEX(H80:N80,$B$1),"&gt;0",H80:INDEX(H80:N80,$B$1))*$B$1/COUNTIF(H80:INDEX(H80:N80,$B$1),"&gt;0")*
IF($B$1-COUNTIF(H80:INDEX(H80:N80,$B$1),"&gt;0")&lt;=2,1,
IF($B$1-COUNTIF(H80:INDEX(H80:N80,$B$1),"&gt;0")=3,0.8,
IF($B$1-COUNTIF(H80:INDEX(H80:N80,$B$1),"&gt;0")=4,0.6,
IF($B$1-COUNTIF(H80:INDEX(H80:N80,$B$1),"&gt;0")=5,0.4,
IF($B$1-COUNTIF(H80:INDEX(H80:N80,$B$1),"&gt;0")=6,0.2,0))))))</f>
        <v>207</v>
      </c>
      <c r="H80" s="3">
        <v>30</v>
      </c>
      <c r="I80" s="3">
        <v>26</v>
      </c>
      <c r="J80" s="3">
        <v>10</v>
      </c>
      <c r="K80" s="3">
        <v>36</v>
      </c>
      <c r="L80" s="3">
        <v>16</v>
      </c>
      <c r="M80" s="3">
        <v>44</v>
      </c>
      <c r="N80" s="3">
        <v>45</v>
      </c>
      <c r="O80" s="13">
        <f>0.2*IF(COUNTIF(P80:INDEX(P80:V80,$B$1),"&gt;0")=0,0,
(SUMIF(P80:INDEX(P80:V80,$B$1),"&gt;0",P80:INDEX(P80:V80,$B$1))*$B$1/COUNTIF(P80:INDEX(P80:V80,$B$1),"&gt;0"))*
IF($B$1-COUNTIF(P80:INDEX(P80:V80,$B$1),"&gt;0")&lt;=2,1,
IF($B$1-COUNTIF(P80:INDEX(P80:V80,$B$1),"&gt;0")=3,0.8,
IF($B$1-COUNTIF(P80:INDEX(P80:V80,$B$1),"&gt;0")=4,0.6,
IF($B$1-COUNTIF(P80:INDEX(P80:V80,$B$1),"&gt;0")=5,0.4,
IF($B$1-COUNTIF(P80:INDEX(P80:V80,$B$1),"&gt;0")=6,0.2,0))))))</f>
        <v>34.4</v>
      </c>
      <c r="P80" s="3">
        <v>28</v>
      </c>
      <c r="Q80" s="3">
        <v>19</v>
      </c>
      <c r="R80" s="3">
        <v>29</v>
      </c>
      <c r="S80" s="3">
        <v>28</v>
      </c>
      <c r="T80" s="3">
        <v>20</v>
      </c>
      <c r="U80" s="3">
        <v>23</v>
      </c>
      <c r="V80" s="3">
        <v>25</v>
      </c>
      <c r="W80" s="3">
        <f>MIN(100,
IF($B$1&gt;=1,IFERROR(VALUE(SUBSTITUTE(SUBSTITUTE(TRIM(X80),"A",""),"B","")),0),0)+
IF($B$1&gt;=2,IFERROR(VALUE(SUBSTITUTE(SUBSTITUTE(TRIM(Y80),"A",""),"B","")),0),0)+
IF($B$1&gt;=3,IFERROR(VALUE(SUBSTITUTE(SUBSTITUTE(TRIM(Z80),"A",""),"B","")),0),0)+
IF($B$1&gt;=4,IFERROR(VALUE(SUBSTITUTE(SUBSTITUTE(TRIM(AA80),"A",""),"B","")),0),0)+
IF($B$1&gt;=5,IFERROR(VALUE(SUBSTITUTE(SUBSTITUTE(TRIM(AB80),"A",""),"B","")),0),0)+
IF($B$1&gt;=6,IFERROR(VALUE(SUBSTITUTE(SUBSTITUTE(TRIM(AC80),"A",""),"B","")),0),0)+
IF($B$1&gt;=7,IFERROR(VALUE(SUBSTITUTE(SUBSTITUTE(TRIM(AD80),"A",""),"B","")),0),0)
)</f>
        <v>20</v>
      </c>
      <c r="X80" s="3"/>
      <c r="AC80" s="3" t="s">
        <v>156</v>
      </c>
      <c r="AE80" s="13">
        <f>AH80+AK80+AN80+AQ80+AT80+AW80+AZ80+BC80</f>
        <v>0</v>
      </c>
      <c r="AG80" s="13">
        <f>SQRT(AF80)</f>
        <v>0</v>
      </c>
      <c r="AH80" s="13">
        <f>IF(AG80&gt;0,AG80/AG$99*1000, 0)</f>
        <v>0</v>
      </c>
      <c r="AI80" s="13"/>
      <c r="AJ80" s="13">
        <f>SQRT(AI80)</f>
        <v>0</v>
      </c>
      <c r="AK80" s="13">
        <f>IF(AJ80&gt;0,AJ80/AJ$99*1000, 0)</f>
        <v>0</v>
      </c>
      <c r="AM80" s="13">
        <f>SQRT(AL80)</f>
        <v>0</v>
      </c>
      <c r="AN80" s="13">
        <f>IF(AM80&gt;0,AM80/AM$99*1000, 0)</f>
        <v>0</v>
      </c>
      <c r="AP80" s="13">
        <f>SQRT(AO80)</f>
        <v>0</v>
      </c>
      <c r="AQ80" s="13">
        <f>IF(AP80&gt;0,AP80/AP$99*1000, 0)</f>
        <v>0</v>
      </c>
      <c r="AS80" s="13">
        <f>SQRT(AR80)</f>
        <v>0</v>
      </c>
      <c r="AT80" s="13">
        <f>IF(AS80&gt;0,AS80/AS$99*1000, 0)</f>
        <v>0</v>
      </c>
      <c r="AV80" s="13">
        <f>SQRT(AU80)</f>
        <v>0</v>
      </c>
      <c r="AW80" s="13">
        <f>IF(AV80&gt;0,AV80/AV$99*1000, 0)</f>
        <v>0</v>
      </c>
      <c r="AY80" s="13">
        <f>SQRT(AX80)</f>
        <v>0</v>
      </c>
      <c r="AZ80" s="13">
        <f>IF(AY80&gt;0,AY80/AY$99*1000, 0)</f>
        <v>0</v>
      </c>
      <c r="BB80" s="13">
        <f>SQRT(BA80)</f>
        <v>0</v>
      </c>
      <c r="BC80" s="13">
        <f>IF(BB80&gt;0,BB80/BB$99*1000, 0)</f>
        <v>0</v>
      </c>
      <c r="BD80" s="24">
        <v>7.0000000000000007E-2</v>
      </c>
      <c r="BE80" s="21">
        <f>SQRT(BD80)</f>
        <v>0.26457513110645908</v>
      </c>
      <c r="BF80" s="13">
        <f>IF(BE80&gt;0, BE80/BE$99*10000, 0)</f>
        <v>68.135393353346743</v>
      </c>
      <c r="BG80" s="27">
        <v>1</v>
      </c>
      <c r="BH80" s="13">
        <f>IF(BG80&gt;0, BG80/BG$99*2000, 0)</f>
        <v>2.7816411682892905</v>
      </c>
      <c r="BI80" s="30">
        <v>-50</v>
      </c>
      <c r="BJ80" s="30">
        <v>-300</v>
      </c>
      <c r="BK80" s="30">
        <f>BJ80+BI80</f>
        <v>-350</v>
      </c>
      <c r="BL80" s="7"/>
      <c r="BM80" s="3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</row>
    <row r="81" spans="1:90" ht="20.100000000000001" customHeight="1" x14ac:dyDescent="0.25">
      <c r="B81" s="1">
        <v>75</v>
      </c>
      <c r="C81" s="50">
        <v>77</v>
      </c>
      <c r="D81" s="51" t="str">
        <f>IF(C81&lt;B81,"▲"&amp;B81-C81,IF(C81&gt;B81,"▼"&amp;C81-B81,"—"))</f>
        <v>▼2</v>
      </c>
      <c r="E81" s="52" t="s">
        <v>95</v>
      </c>
      <c r="F81" s="53">
        <f>G81+O81+W81+AE81+BF81+BH81+BK81</f>
        <v>-92.470158904950068</v>
      </c>
      <c r="G81" s="19">
        <f>IF(COUNTIF(H81:INDEX(H81:N81,$B$1),"&gt;0")=0,0,
SUMIF(H81:INDEX(H81:N81,$B$1),"&gt;0",H81:INDEX(H81:N81,$B$1))*$B$1/COUNTIF(H81:INDEX(H81:N81,$B$1),"&gt;0")*
IF($B$1-COUNTIF(H81:INDEX(H81:N81,$B$1),"&gt;0")&lt;=2,1,
IF($B$1-COUNTIF(H81:INDEX(H81:N81,$B$1),"&gt;0")=3,0.8,
IF($B$1-COUNTIF(H81:INDEX(H81:N81,$B$1),"&gt;0")=4,0.6,
IF($B$1-COUNTIF(H81:INDEX(H81:N81,$B$1),"&gt;0")=5,0.4,
IF($B$1-COUNTIF(H81:INDEX(H81:N81,$B$1),"&gt;0")=6,0.2,0))))))</f>
        <v>74</v>
      </c>
      <c r="H81" s="3">
        <v>7</v>
      </c>
      <c r="I81" s="3">
        <v>10</v>
      </c>
      <c r="J81" s="3">
        <v>9</v>
      </c>
      <c r="K81" s="3">
        <v>7</v>
      </c>
      <c r="L81" s="3">
        <v>8</v>
      </c>
      <c r="M81" s="3">
        <v>22</v>
      </c>
      <c r="N81" s="3">
        <v>11</v>
      </c>
      <c r="O81" s="13">
        <f>0.2*IF(COUNTIF(P81:INDEX(P81:V81,$B$1),"&gt;0")=0,0,
(SUMIF(P81:INDEX(P81:V81,$B$1),"&gt;0",P81:INDEX(P81:V81,$B$1))*$B$1/COUNTIF(P81:INDEX(P81:V81,$B$1),"&gt;0"))*
IF($B$1-COUNTIF(P81:INDEX(P81:V81,$B$1),"&gt;0")&lt;=2,1,
IF($B$1-COUNTIF(P81:INDEX(P81:V81,$B$1),"&gt;0")=3,0.8,
IF($B$1-COUNTIF(P81:INDEX(P81:V81,$B$1),"&gt;0")=4,0.6,
IF($B$1-COUNTIF(P81:INDEX(P81:V81,$B$1),"&gt;0")=5,0.4,
IF($B$1-COUNTIF(P81:INDEX(P81:V81,$B$1),"&gt;0")=6,0.2,0))))))</f>
        <v>47.6</v>
      </c>
      <c r="P81" s="3">
        <v>37</v>
      </c>
      <c r="Q81" s="3">
        <v>6</v>
      </c>
      <c r="R81" s="3">
        <v>40</v>
      </c>
      <c r="S81" s="3">
        <v>37</v>
      </c>
      <c r="T81" s="3">
        <v>43</v>
      </c>
      <c r="U81" s="3">
        <v>39</v>
      </c>
      <c r="V81" s="3">
        <v>36</v>
      </c>
      <c r="W81" s="3">
        <f>MIN(100,
IF($B$1&gt;=1,IFERROR(VALUE(SUBSTITUTE(SUBSTITUTE(TRIM(X81),"A",""),"B","")),0),0)+
IF($B$1&gt;=2,IFERROR(VALUE(SUBSTITUTE(SUBSTITUTE(TRIM(Y81),"A",""),"B","")),0),0)+
IF($B$1&gt;=3,IFERROR(VALUE(SUBSTITUTE(SUBSTITUTE(TRIM(Z81),"A",""),"B","")),0),0)+
IF($B$1&gt;=4,IFERROR(VALUE(SUBSTITUTE(SUBSTITUTE(TRIM(AA81),"A",""),"B","")),0),0)+
IF($B$1&gt;=5,IFERROR(VALUE(SUBSTITUTE(SUBSTITUTE(TRIM(AB81),"A",""),"B","")),0),0)+
IF($B$1&gt;=6,IFERROR(VALUE(SUBSTITUTE(SUBSTITUTE(TRIM(AC81),"A",""),"B","")),0),0)+
IF($B$1&gt;=7,IFERROR(VALUE(SUBSTITUTE(SUBSTITUTE(TRIM(AD81),"A",""),"B","")),0),0)
)</f>
        <v>20</v>
      </c>
      <c r="X81" s="3"/>
      <c r="AC81" s="3" t="s">
        <v>156</v>
      </c>
      <c r="AE81" s="13">
        <f>AH81+AK81+AN81+AQ81+AT81+AW81+AZ81+BC81</f>
        <v>0</v>
      </c>
      <c r="AG81" s="13">
        <f>SQRT(AF81)</f>
        <v>0</v>
      </c>
      <c r="AH81" s="13">
        <f>IF(AG81&gt;0,AG81/AG$99*1000, 0)</f>
        <v>0</v>
      </c>
      <c r="AI81" s="13"/>
      <c r="AJ81" s="13">
        <f>SQRT(AI81)</f>
        <v>0</v>
      </c>
      <c r="AK81" s="13">
        <f>IF(AJ81&gt;0,AJ81/AJ$99*1000, 0)</f>
        <v>0</v>
      </c>
      <c r="AM81" s="13">
        <f>SQRT(AL81)</f>
        <v>0</v>
      </c>
      <c r="AN81" s="13">
        <f>IF(AM81&gt;0,AM81/AM$99*1000, 0)</f>
        <v>0</v>
      </c>
      <c r="AP81" s="13">
        <f>SQRT(AO81)</f>
        <v>0</v>
      </c>
      <c r="AQ81" s="13">
        <f>IF(AP81&gt;0,AP81/AP$99*1000, 0)</f>
        <v>0</v>
      </c>
      <c r="AS81" s="13">
        <f>SQRT(AR81)</f>
        <v>0</v>
      </c>
      <c r="AT81" s="13">
        <f>IF(AS81&gt;0,AS81/AS$99*1000, 0)</f>
        <v>0</v>
      </c>
      <c r="AV81" s="13">
        <f>SQRT(AU81)</f>
        <v>0</v>
      </c>
      <c r="AW81" s="13">
        <f>IF(AV81&gt;0,AV81/AV$99*1000, 0)</f>
        <v>0</v>
      </c>
      <c r="AY81" s="13">
        <f>SQRT(AX81)</f>
        <v>0</v>
      </c>
      <c r="AZ81" s="13">
        <f>IF(AY81&gt;0,AY81/AY$99*1000, 0)</f>
        <v>0</v>
      </c>
      <c r="BB81" s="13">
        <f>SQRT(BA81)</f>
        <v>0</v>
      </c>
      <c r="BC81" s="13">
        <f>IF(BB81&gt;0,BB81/BB$99*1000, 0)</f>
        <v>0</v>
      </c>
      <c r="BD81" s="24">
        <v>0.05</v>
      </c>
      <c r="BE81" s="21">
        <f>SQRT(BD81)</f>
        <v>0.22360679774997896</v>
      </c>
      <c r="BF81" s="13">
        <f>IF(BE81&gt;0, BE81/BE$99*10000, 0)</f>
        <v>57.58491759018208</v>
      </c>
      <c r="BG81" s="27">
        <v>3</v>
      </c>
      <c r="BH81" s="13">
        <f>IF(BG81&gt;0, BG81/BG$99*2000, 0)</f>
        <v>8.3449235048678716</v>
      </c>
      <c r="BI81" s="30">
        <v>0</v>
      </c>
      <c r="BJ81" s="30">
        <v>-300</v>
      </c>
      <c r="BK81" s="30">
        <f>BJ81+BI81</f>
        <v>-300</v>
      </c>
      <c r="BL81" s="7"/>
      <c r="BM81" s="3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</row>
    <row r="82" spans="1:90" ht="20.100000000000001" customHeight="1" x14ac:dyDescent="0.25">
      <c r="B82" s="1">
        <v>76</v>
      </c>
      <c r="C82" s="50">
        <v>78</v>
      </c>
      <c r="D82" s="51" t="str">
        <f>IF(C82&lt;B82,"▲"&amp;B82-C82,IF(C82&gt;B82,"▼"&amp;C82-B82,"—"))</f>
        <v>▼2</v>
      </c>
      <c r="E82" s="52" t="s">
        <v>79</v>
      </c>
      <c r="F82" s="53">
        <f>G82+O82+W82+AE82+BF82+BH82+BK82</f>
        <v>-139.49119463661361</v>
      </c>
      <c r="G82" s="19">
        <f>IF(COUNTIF(H82:INDEX(H82:N82,$B$1),"&gt;0")=0,0,
SUMIF(H82:INDEX(H82:N82,$B$1),"&gt;0",H82:INDEX(H82:N82,$B$1))*$B$1/COUNTIF(H82:INDEX(H82:N82,$B$1),"&gt;0")*
IF($B$1-COUNTIF(H82:INDEX(H82:N82,$B$1),"&gt;0")&lt;=2,1,
IF($B$1-COUNTIF(H82:INDEX(H82:N82,$B$1),"&gt;0")=3,0.8,
IF($B$1-COUNTIF(H82:INDEX(H82:N82,$B$1),"&gt;0")=4,0.6,
IF($B$1-COUNTIF(H82:INDEX(H82:N82,$B$1),"&gt;0")=5,0.4,
IF($B$1-COUNTIF(H82:INDEX(H82:N82,$B$1),"&gt;0")=6,0.2,0))))))</f>
        <v>189</v>
      </c>
      <c r="H82" s="3">
        <v>17</v>
      </c>
      <c r="I82" s="3">
        <v>33</v>
      </c>
      <c r="J82" s="3">
        <v>26</v>
      </c>
      <c r="K82" s="3">
        <v>41</v>
      </c>
      <c r="L82" s="3">
        <v>22</v>
      </c>
      <c r="M82" s="3">
        <v>13</v>
      </c>
      <c r="N82" s="3">
        <v>37</v>
      </c>
      <c r="O82" s="13">
        <f>0.2*IF(COUNTIF(P82:INDEX(P82:V82,$B$1),"&gt;0")=0,0,
(SUMIF(P82:INDEX(P82:V82,$B$1),"&gt;0",P82:INDEX(P82:V82,$B$1))*$B$1/COUNTIF(P82:INDEX(P82:V82,$B$1),"&gt;0"))*
IF($B$1-COUNTIF(P82:INDEX(P82:V82,$B$1),"&gt;0")&lt;=2,1,
IF($B$1-COUNTIF(P82:INDEX(P82:V82,$B$1),"&gt;0")=3,0.8,
IF($B$1-COUNTIF(P82:INDEX(P82:V82,$B$1),"&gt;0")=4,0.6,
IF($B$1-COUNTIF(P82:INDEX(P82:V82,$B$1),"&gt;0")=5,0.4,
IF($B$1-COUNTIF(P82:INDEX(P82:V82,$B$1),"&gt;0")=6,0.2,0))))))</f>
        <v>44.6</v>
      </c>
      <c r="P82" s="3">
        <v>34</v>
      </c>
      <c r="Q82" s="3">
        <v>35</v>
      </c>
      <c r="R82" s="3">
        <v>37</v>
      </c>
      <c r="S82" s="3">
        <v>35</v>
      </c>
      <c r="T82" s="3">
        <v>29</v>
      </c>
      <c r="U82" s="3">
        <v>27</v>
      </c>
      <c r="V82" s="3">
        <v>26</v>
      </c>
      <c r="W82" s="3">
        <f>MIN(100,
IF($B$1&gt;=1,IFERROR(VALUE(SUBSTITUTE(SUBSTITUTE(TRIM(X82),"A",""),"B","")),0),0)+
IF($B$1&gt;=2,IFERROR(VALUE(SUBSTITUTE(SUBSTITUTE(TRIM(Y82),"A",""),"B","")),0),0)+
IF($B$1&gt;=3,IFERROR(VALUE(SUBSTITUTE(SUBSTITUTE(TRIM(Z82),"A",""),"B","")),0),0)+
IF($B$1&gt;=4,IFERROR(VALUE(SUBSTITUTE(SUBSTITUTE(TRIM(AA82),"A",""),"B","")),0),0)+
IF($B$1&gt;=5,IFERROR(VALUE(SUBSTITUTE(SUBSTITUTE(TRIM(AB82),"A",""),"B","")),0),0)+
IF($B$1&gt;=6,IFERROR(VALUE(SUBSTITUTE(SUBSTITUTE(TRIM(AC82),"A",""),"B","")),0),0)+
IF($B$1&gt;=7,IFERROR(VALUE(SUBSTITUTE(SUBSTITUTE(TRIM(AD82),"A",""),"B","")),0),0)
)</f>
        <v>20</v>
      </c>
      <c r="X82" s="3"/>
      <c r="AC82" s="3" t="s">
        <v>156</v>
      </c>
      <c r="AE82" s="13">
        <f>AH82+AK82+AN82+AQ82+AT82+AW82+AZ82+BC82</f>
        <v>9.3537111307178193</v>
      </c>
      <c r="AG82" s="13">
        <f>SQRT(AF82)</f>
        <v>0</v>
      </c>
      <c r="AH82" s="13">
        <f>IF(AG82&gt;0,AG82/AG$99*1000, 0)</f>
        <v>0</v>
      </c>
      <c r="AI82" s="13">
        <v>0.1</v>
      </c>
      <c r="AJ82" s="13">
        <f>SQRT(AI82)</f>
        <v>0.31622776601683794</v>
      </c>
      <c r="AK82" s="13">
        <f>IF(AJ82&gt;0,AJ82/AJ$99*1000, 0)</f>
        <v>9.3537111307178193</v>
      </c>
      <c r="AM82" s="13">
        <f>SQRT(AL82)</f>
        <v>0</v>
      </c>
      <c r="AN82" s="13">
        <f>IF(AM82&gt;0,AM82/AM$99*1000, 0)</f>
        <v>0</v>
      </c>
      <c r="AP82" s="13">
        <f>SQRT(AO82)</f>
        <v>0</v>
      </c>
      <c r="AQ82" s="13">
        <f>IF(AP82&gt;0,AP82/AP$99*1000, 0)</f>
        <v>0</v>
      </c>
      <c r="AS82" s="13">
        <f>SQRT(AR82)</f>
        <v>0</v>
      </c>
      <c r="AT82" s="13">
        <f>IF(AS82&gt;0,AS82/AS$99*1000, 0)</f>
        <v>0</v>
      </c>
      <c r="AV82" s="13">
        <f>SQRT(AU82)</f>
        <v>0</v>
      </c>
      <c r="AW82" s="13">
        <f>IF(AV82&gt;0,AV82/AV$99*1000, 0)</f>
        <v>0</v>
      </c>
      <c r="AY82" s="13">
        <f>SQRT(AX82)</f>
        <v>0</v>
      </c>
      <c r="AZ82" s="13">
        <f>IF(AY82&gt;0,AY82/AY$99*1000, 0)</f>
        <v>0</v>
      </c>
      <c r="BB82" s="13">
        <f>SQRT(BA82)</f>
        <v>0</v>
      </c>
      <c r="BC82" s="13">
        <f>IF(BB82&gt;0,BB82/BB$99*1000, 0)</f>
        <v>0</v>
      </c>
      <c r="BD82" s="24">
        <v>0.12</v>
      </c>
      <c r="BE82" s="21">
        <f>SQRT(BD82)</f>
        <v>0.34641016151377546</v>
      </c>
      <c r="BF82" s="13">
        <f>IF(BE82&gt;0, BE82/BE$99*10000, 0)</f>
        <v>89.210170727800701</v>
      </c>
      <c r="BG82" s="27">
        <v>3</v>
      </c>
      <c r="BH82" s="13">
        <f>IF(BG82&gt;0, BG82/BG$99*2000, 0)</f>
        <v>8.3449235048678716</v>
      </c>
      <c r="BI82" s="30">
        <v>-200</v>
      </c>
      <c r="BJ82" s="30">
        <v>-300</v>
      </c>
      <c r="BK82" s="30">
        <f>BJ82+BI82</f>
        <v>-500</v>
      </c>
      <c r="BL82" s="7"/>
      <c r="BM82" s="3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</row>
    <row r="83" spans="1:90" s="6" customFormat="1" ht="20.100000000000001" customHeight="1" x14ac:dyDescent="0.25">
      <c r="A83" s="1"/>
      <c r="B83" s="1">
        <v>77</v>
      </c>
      <c r="C83" s="50">
        <v>79</v>
      </c>
      <c r="D83" s="51" t="str">
        <f>IF(C83&lt;B83,"▲"&amp;B83-C83,IF(C83&gt;B83,"▼"&amp;C83-B83,"—"))</f>
        <v>▼2</v>
      </c>
      <c r="E83" s="52" t="s">
        <v>85</v>
      </c>
      <c r="F83" s="53">
        <f>G83+O83+W83+AE83+BF83+BH83+BK83</f>
        <v>-177.07023769575267</v>
      </c>
      <c r="G83" s="19">
        <f>IF(COUNTIF(H83:INDEX(H83:N83,$B$1),"&gt;0")=0,0,
SUMIF(H83:INDEX(H83:N83,$B$1),"&gt;0",H83:INDEX(H83:N83,$B$1))*$B$1/COUNTIF(H83:INDEX(H83:N83,$B$1),"&gt;0")*
IF($B$1-COUNTIF(H83:INDEX(H83:N83,$B$1),"&gt;0")&lt;=2,1,
IF($B$1-COUNTIF(H83:INDEX(H83:N83,$B$1),"&gt;0")=3,0.8,
IF($B$1-COUNTIF(H83:INDEX(H83:N83,$B$1),"&gt;0")=4,0.6,
IF($B$1-COUNTIF(H83:INDEX(H83:N83,$B$1),"&gt;0")=5,0.4,
IF($B$1-COUNTIF(H83:INDEX(H83:N83,$B$1),"&gt;0")=6,0.2,0))))))</f>
        <v>153</v>
      </c>
      <c r="H83" s="3">
        <v>14</v>
      </c>
      <c r="I83" s="3">
        <v>15</v>
      </c>
      <c r="J83" s="3">
        <v>29</v>
      </c>
      <c r="K83" s="3">
        <v>36</v>
      </c>
      <c r="L83" s="3">
        <v>24</v>
      </c>
      <c r="M83" s="3">
        <v>17</v>
      </c>
      <c r="N83" s="3">
        <v>18</v>
      </c>
      <c r="O83" s="13">
        <f>0.2*IF(COUNTIF(P83:INDEX(P83:V83,$B$1),"&gt;0")=0,0,
(SUMIF(P83:INDEX(P83:V83,$B$1),"&gt;0",P83:INDEX(P83:V83,$B$1))*$B$1/COUNTIF(P83:INDEX(P83:V83,$B$1),"&gt;0"))*
IF($B$1-COUNTIF(P83:INDEX(P83:V83,$B$1),"&gt;0")&lt;=2,1,
IF($B$1-COUNTIF(P83:INDEX(P83:V83,$B$1),"&gt;0")=3,0.8,
IF($B$1-COUNTIF(P83:INDEX(P83:V83,$B$1),"&gt;0")=4,0.6,
IF($B$1-COUNTIF(P83:INDEX(P83:V83,$B$1),"&gt;0")=5,0.4,
IF($B$1-COUNTIF(P83:INDEX(P83:V83,$B$1),"&gt;0")=6,0.2,0))))))</f>
        <v>53.2</v>
      </c>
      <c r="P83" s="3">
        <v>32</v>
      </c>
      <c r="Q83" s="3">
        <v>27</v>
      </c>
      <c r="R83" s="3">
        <v>40</v>
      </c>
      <c r="S83" s="3">
        <v>38</v>
      </c>
      <c r="T83" s="3">
        <v>35</v>
      </c>
      <c r="U83" s="3">
        <v>50</v>
      </c>
      <c r="V83" s="3">
        <v>44</v>
      </c>
      <c r="W83" s="3">
        <f>MIN(100,
IF($B$1&gt;=1,IFERROR(VALUE(SUBSTITUTE(SUBSTITUTE(TRIM(X83),"A",""),"B","")),0),0)+
IF($B$1&gt;=2,IFERROR(VALUE(SUBSTITUTE(SUBSTITUTE(TRIM(Y83),"A",""),"B","")),0),0)+
IF($B$1&gt;=3,IFERROR(VALUE(SUBSTITUTE(SUBSTITUTE(TRIM(Z83),"A",""),"B","")),0),0)+
IF($B$1&gt;=4,IFERROR(VALUE(SUBSTITUTE(SUBSTITUTE(TRIM(AA83),"A",""),"B","")),0),0)+
IF($B$1&gt;=5,IFERROR(VALUE(SUBSTITUTE(SUBSTITUTE(TRIM(AB83),"A",""),"B","")),0),0)+
IF($B$1&gt;=6,IFERROR(VALUE(SUBSTITUTE(SUBSTITUTE(TRIM(AC83),"A",""),"B","")),0),0)+
IF($B$1&gt;=7,IFERROR(VALUE(SUBSTITUTE(SUBSTITUTE(TRIM(AD83),"A",""),"B","")),0),0)
)</f>
        <v>20</v>
      </c>
      <c r="X83" s="3"/>
      <c r="Y83" s="3"/>
      <c r="Z83" s="3"/>
      <c r="AA83" s="3"/>
      <c r="AB83" s="3"/>
      <c r="AC83" s="3" t="s">
        <v>156</v>
      </c>
      <c r="AD83" s="3"/>
      <c r="AE83" s="13">
        <f>AH83+AK83+AN83+AQ83+AT83+AW83+AZ83+BC83</f>
        <v>0</v>
      </c>
      <c r="AF83" s="13"/>
      <c r="AG83" s="13">
        <f>SQRT(AF83)</f>
        <v>0</v>
      </c>
      <c r="AH83" s="13">
        <f>IF(AG83&gt;0,AG83/AG$99*1000, 0)</f>
        <v>0</v>
      </c>
      <c r="AI83" s="13"/>
      <c r="AJ83" s="13">
        <f>SQRT(AI83)</f>
        <v>0</v>
      </c>
      <c r="AK83" s="13">
        <f>IF(AJ83&gt;0,AJ83/AJ$99*1000, 0)</f>
        <v>0</v>
      </c>
      <c r="AL83" s="13"/>
      <c r="AM83" s="13">
        <f>SQRT(AL83)</f>
        <v>0</v>
      </c>
      <c r="AN83" s="13">
        <f>IF(AM83&gt;0,AM83/AM$99*1000, 0)</f>
        <v>0</v>
      </c>
      <c r="AO83" s="13"/>
      <c r="AP83" s="13">
        <f>SQRT(AO83)</f>
        <v>0</v>
      </c>
      <c r="AQ83" s="13">
        <f>IF(AP83&gt;0,AP83/AP$99*1000, 0)</f>
        <v>0</v>
      </c>
      <c r="AR83" s="13"/>
      <c r="AS83" s="13">
        <f>SQRT(AR83)</f>
        <v>0</v>
      </c>
      <c r="AT83" s="13">
        <f>IF(AS83&gt;0,AS83/AS$99*1000, 0)</f>
        <v>0</v>
      </c>
      <c r="AU83" s="13"/>
      <c r="AV83" s="13">
        <f>SQRT(AU83)</f>
        <v>0</v>
      </c>
      <c r="AW83" s="13">
        <f>IF(AV83&gt;0,AV83/AV$99*1000, 0)</f>
        <v>0</v>
      </c>
      <c r="AX83" s="13"/>
      <c r="AY83" s="13">
        <f>SQRT(AX83)</f>
        <v>0</v>
      </c>
      <c r="AZ83" s="13">
        <f>IF(AY83&gt;0,AY83/AY$99*1000, 0)</f>
        <v>0</v>
      </c>
      <c r="BA83" s="27"/>
      <c r="BB83" s="13">
        <f>SQRT(BA83)</f>
        <v>0</v>
      </c>
      <c r="BC83" s="13">
        <f>IF(BB83&gt;0,BB83/BB$99*1000, 0)</f>
        <v>0</v>
      </c>
      <c r="BD83" s="24">
        <v>0.09</v>
      </c>
      <c r="BE83" s="21">
        <f>SQRT(BD83)</f>
        <v>0.3</v>
      </c>
      <c r="BF83" s="13">
        <f>IF(BE83&gt;0, BE83/BE$99*10000, 0)</f>
        <v>77.258274126222304</v>
      </c>
      <c r="BG83" s="27">
        <v>7</v>
      </c>
      <c r="BH83" s="13">
        <f>IF(BG83&gt;0, BG83/BG$99*2000, 0)</f>
        <v>19.471488178025034</v>
      </c>
      <c r="BI83" s="30">
        <v>-200</v>
      </c>
      <c r="BJ83" s="30">
        <v>-300</v>
      </c>
      <c r="BK83" s="30">
        <f>BJ83+BI83</f>
        <v>-500</v>
      </c>
      <c r="BL83" s="3"/>
      <c r="BM83" s="1"/>
      <c r="BN83" s="1"/>
      <c r="BO83" s="1"/>
    </row>
    <row r="84" spans="1:90" ht="20.100000000000001" customHeight="1" x14ac:dyDescent="0.25">
      <c r="B84" s="1">
        <v>78</v>
      </c>
      <c r="C84" s="50">
        <v>80</v>
      </c>
      <c r="D84" s="51" t="str">
        <f>IF(C84&lt;B84,"▲"&amp;B84-C84,IF(C84&gt;B84,"▼"&amp;C84-B84,"—"))</f>
        <v>▼2</v>
      </c>
      <c r="E84" s="52" t="s">
        <v>70</v>
      </c>
      <c r="F84" s="53">
        <f>G84+O84+W84+AE84+BF84+BH84+BK84</f>
        <v>-183.64033645724652</v>
      </c>
      <c r="G84" s="19">
        <f>IF(COUNTIF(H84:INDEX(H84:N84,$B$1),"&gt;0")=0,0,
SUMIF(H84:INDEX(H84:N84,$B$1),"&gt;0",H84:INDEX(H84:N84,$B$1))*$B$1/COUNTIF(H84:INDEX(H84:N84,$B$1),"&gt;0")*
IF($B$1-COUNTIF(H84:INDEX(H84:N84,$B$1),"&gt;0")&lt;=2,1,
IF($B$1-COUNTIF(H84:INDEX(H84:N84,$B$1),"&gt;0")=3,0.8,
IF($B$1-COUNTIF(H84:INDEX(H84:N84,$B$1),"&gt;0")=4,0.6,
IF($B$1-COUNTIF(H84:INDEX(H84:N84,$B$1),"&gt;0")=5,0.4,
IF($B$1-COUNTIF(H84:INDEX(H84:N84,$B$1),"&gt;0")=6,0.2,0))))))</f>
        <v>173</v>
      </c>
      <c r="H84" s="3">
        <v>34</v>
      </c>
      <c r="I84" s="3">
        <v>21</v>
      </c>
      <c r="J84" s="3">
        <v>60</v>
      </c>
      <c r="K84" s="3">
        <v>25</v>
      </c>
      <c r="L84" s="3">
        <v>23</v>
      </c>
      <c r="M84" s="3">
        <v>3</v>
      </c>
      <c r="N84" s="3">
        <v>7</v>
      </c>
      <c r="O84" s="13">
        <f>0.2*IF(COUNTIF(P84:INDEX(P84:V84,$B$1),"&gt;0")=0,0,
(SUMIF(P84:INDEX(P84:V84,$B$1),"&gt;0",P84:INDEX(P84:V84,$B$1))*$B$1/COUNTIF(P84:INDEX(P84:V84,$B$1),"&gt;0"))*
IF($B$1-COUNTIF(P84:INDEX(P84:V84,$B$1),"&gt;0")&lt;=2,1,
IF($B$1-COUNTIF(P84:INDEX(P84:V84,$B$1),"&gt;0")=3,0.8,
IF($B$1-COUNTIF(P84:INDEX(P84:V84,$B$1),"&gt;0")=4,0.6,
IF($B$1-COUNTIF(P84:INDEX(P84:V84,$B$1),"&gt;0")=5,0.4,
IF($B$1-COUNTIF(P84:INDEX(P84:V84,$B$1),"&gt;0")=6,0.2,0))))))</f>
        <v>29</v>
      </c>
      <c r="P84" s="3">
        <v>29</v>
      </c>
      <c r="Q84" s="3">
        <v>25</v>
      </c>
      <c r="R84" s="3">
        <v>26</v>
      </c>
      <c r="S84" s="3">
        <v>22</v>
      </c>
      <c r="T84" s="3">
        <v>25</v>
      </c>
      <c r="U84" s="3">
        <v>5</v>
      </c>
      <c r="V84" s="3">
        <v>13</v>
      </c>
      <c r="W84" s="3">
        <f>MIN(100,
IF($B$1&gt;=1,IFERROR(VALUE(SUBSTITUTE(SUBSTITUTE(TRIM(X84),"A",""),"B","")),0),0)+
IF($B$1&gt;=2,IFERROR(VALUE(SUBSTITUTE(SUBSTITUTE(TRIM(Y84),"A",""),"B","")),0),0)+
IF($B$1&gt;=3,IFERROR(VALUE(SUBSTITUTE(SUBSTITUTE(TRIM(Z84),"A",""),"B","")),0),0)+
IF($B$1&gt;=4,IFERROR(VALUE(SUBSTITUTE(SUBSTITUTE(TRIM(AA84),"A",""),"B","")),0),0)+
IF($B$1&gt;=5,IFERROR(VALUE(SUBSTITUTE(SUBSTITUTE(TRIM(AB84),"A",""),"B","")),0),0)+
IF($B$1&gt;=6,IFERROR(VALUE(SUBSTITUTE(SUBSTITUTE(TRIM(AC84),"A",""),"B","")),0),0)+
IF($B$1&gt;=7,IFERROR(VALUE(SUBSTITUTE(SUBSTITUTE(TRIM(AD84),"A",""),"B","")),0),0)
)</f>
        <v>20</v>
      </c>
      <c r="X84" s="3"/>
      <c r="AC84" s="3" t="s">
        <v>156</v>
      </c>
      <c r="AE84" s="13">
        <f>AH84+AK84+AN84+AQ84+AT84+AW84+AZ84+BC84</f>
        <v>42.854147458605247</v>
      </c>
      <c r="AG84" s="13">
        <f>SQRT(AF84)</f>
        <v>0</v>
      </c>
      <c r="AH84" s="13">
        <f>IF(AG84&gt;0,AG84/AG$99*1000, 0)</f>
        <v>0</v>
      </c>
      <c r="AI84" s="13">
        <v>0.6</v>
      </c>
      <c r="AJ84" s="13">
        <f>SQRT(AI84)</f>
        <v>0.7745966692414834</v>
      </c>
      <c r="AK84" s="13">
        <f>IF(AJ84&gt;0,AJ84/AJ$99*1000, 0)</f>
        <v>22.911819471650141</v>
      </c>
      <c r="AM84" s="13">
        <f>SQRT(AL84)</f>
        <v>0</v>
      </c>
      <c r="AN84" s="13">
        <f>IF(AM84&gt;0,AM84/AM$99*1000, 0)</f>
        <v>0</v>
      </c>
      <c r="AP84" s="13">
        <f>SQRT(AO84)</f>
        <v>0</v>
      </c>
      <c r="AQ84" s="13">
        <f>IF(AP84&gt;0,AP84/AP$99*1000, 0)</f>
        <v>0</v>
      </c>
      <c r="AS84" s="13">
        <f>SQRT(AR84)</f>
        <v>0</v>
      </c>
      <c r="AT84" s="13">
        <f>IF(AS84&gt;0,AS84/AS$99*1000, 0)</f>
        <v>0</v>
      </c>
      <c r="AU84" s="13">
        <v>0.2</v>
      </c>
      <c r="AV84" s="13">
        <f>SQRT(AU84)</f>
        <v>0.44721359549995793</v>
      </c>
      <c r="AW84" s="13">
        <f>IF(AV84&gt;0,AV84/AV$99*1000, 0)</f>
        <v>19.942327986955107</v>
      </c>
      <c r="AY84" s="13">
        <f>SQRT(AX84)</f>
        <v>0</v>
      </c>
      <c r="AZ84" s="13">
        <f>IF(AY84&gt;0,AY84/AY$99*1000, 0)</f>
        <v>0</v>
      </c>
      <c r="BB84" s="13">
        <f>SQRT(BA84)</f>
        <v>0</v>
      </c>
      <c r="BC84" s="13">
        <f>IF(BB84&gt;0,BB84/BB$99*1000, 0)</f>
        <v>0</v>
      </c>
      <c r="BD84" s="24">
        <v>0.04</v>
      </c>
      <c r="BE84" s="21">
        <f>SQRT(BD84)</f>
        <v>0.2</v>
      </c>
      <c r="BF84" s="13">
        <f>IF(BE84&gt;0, BE84/BE$99*10000, 0)</f>
        <v>51.505516084148212</v>
      </c>
      <c r="BH84" s="13">
        <f>IF(BG84&gt;0, BG84/BG$99*2000, 0)</f>
        <v>0</v>
      </c>
      <c r="BI84" s="30">
        <v>-200</v>
      </c>
      <c r="BJ84" s="30">
        <v>-300</v>
      </c>
      <c r="BK84" s="30">
        <f>BJ84+BI84</f>
        <v>-500</v>
      </c>
      <c r="BL84" s="7"/>
      <c r="BM84" s="3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</row>
    <row r="85" spans="1:90" ht="20.100000000000001" customHeight="1" x14ac:dyDescent="0.25">
      <c r="B85" s="1">
        <v>79</v>
      </c>
      <c r="C85" s="50">
        <v>81</v>
      </c>
      <c r="D85" s="51" t="str">
        <f>IF(C85&lt;B85,"▲"&amp;B85-C85,IF(C85&gt;B85,"▼"&amp;C85-B85,"—"))</f>
        <v>▼2</v>
      </c>
      <c r="E85" s="52" t="s">
        <v>90</v>
      </c>
      <c r="F85" s="53">
        <f>G85+O85+W85+AE85+BF85+BH85+BK85</f>
        <v>-184.6</v>
      </c>
      <c r="G85" s="19">
        <f>IF(COUNTIF(H85:INDEX(H85:N85,$B$1),"&gt;0")=0,0,
SUMIF(H85:INDEX(H85:N85,$B$1),"&gt;0",H85:INDEX(H85:N85,$B$1))*$B$1/COUNTIF(H85:INDEX(H85:N85,$B$1),"&gt;0")*
IF($B$1-COUNTIF(H85:INDEX(H85:N85,$B$1),"&gt;0")&lt;=2,1,
IF($B$1-COUNTIF(H85:INDEX(H85:N85,$B$1),"&gt;0")=3,0.8,
IF($B$1-COUNTIF(H85:INDEX(H85:N85,$B$1),"&gt;0")=4,0.6,
IF($B$1-COUNTIF(H85:INDEX(H85:N85,$B$1),"&gt;0")=5,0.4,
IF($B$1-COUNTIF(H85:INDEX(H85:N85,$B$1),"&gt;0")=6,0.2,0))))))</f>
        <v>123</v>
      </c>
      <c r="H85" s="3">
        <v>20</v>
      </c>
      <c r="I85" s="3">
        <v>18</v>
      </c>
      <c r="J85" s="3">
        <v>12</v>
      </c>
      <c r="K85" s="3">
        <v>12</v>
      </c>
      <c r="L85" s="3">
        <v>28</v>
      </c>
      <c r="M85" s="3">
        <v>8</v>
      </c>
      <c r="N85" s="3">
        <v>25</v>
      </c>
      <c r="O85" s="13">
        <f>0.2*IF(COUNTIF(P85:INDEX(P85:V85,$B$1),"&gt;0")=0,0,
(SUMIF(P85:INDEX(P85:V85,$B$1),"&gt;0",P85:INDEX(P85:V85,$B$1))*$B$1/COUNTIF(P85:INDEX(P85:V85,$B$1),"&gt;0"))*
IF($B$1-COUNTIF(P85:INDEX(P85:V85,$B$1),"&gt;0")&lt;=2,1,
IF($B$1-COUNTIF(P85:INDEX(P85:V85,$B$1),"&gt;0")=3,0.8,
IF($B$1-COUNTIF(P85:INDEX(P85:V85,$B$1),"&gt;0")=4,0.6,
IF($B$1-COUNTIF(P85:INDEX(P85:V85,$B$1),"&gt;0")=5,0.4,
IF($B$1-COUNTIF(P85:INDEX(P85:V85,$B$1),"&gt;0")=6,0.2,0))))))</f>
        <v>22.400000000000002</v>
      </c>
      <c r="P85" s="3">
        <v>18</v>
      </c>
      <c r="Q85" s="3">
        <v>9</v>
      </c>
      <c r="R85" s="3">
        <v>17</v>
      </c>
      <c r="S85" s="3">
        <v>19</v>
      </c>
      <c r="T85" s="3">
        <v>26</v>
      </c>
      <c r="U85" s="3">
        <v>12</v>
      </c>
      <c r="V85" s="3">
        <v>11</v>
      </c>
      <c r="W85" s="3">
        <f>MIN(100,
IF($B$1&gt;=1,IFERROR(VALUE(SUBSTITUTE(SUBSTITUTE(TRIM(X85),"A",""),"B","")),0),0)+
IF($B$1&gt;=2,IFERROR(VALUE(SUBSTITUTE(SUBSTITUTE(TRIM(Y85),"A",""),"B","")),0),0)+
IF($B$1&gt;=3,IFERROR(VALUE(SUBSTITUTE(SUBSTITUTE(TRIM(Z85),"A",""),"B","")),0),0)+
IF($B$1&gt;=4,IFERROR(VALUE(SUBSTITUTE(SUBSTITUTE(TRIM(AA85),"A",""),"B","")),0),0)+
IF($B$1&gt;=5,IFERROR(VALUE(SUBSTITUTE(SUBSTITUTE(TRIM(AB85),"A",""),"B","")),0),0)+
IF($B$1&gt;=6,IFERROR(VALUE(SUBSTITUTE(SUBSTITUTE(TRIM(AC85),"A",""),"B","")),0),0)+
IF($B$1&gt;=7,IFERROR(VALUE(SUBSTITUTE(SUBSTITUTE(TRIM(AD85),"A",""),"B","")),0),0)
)</f>
        <v>20</v>
      </c>
      <c r="X85" s="3"/>
      <c r="AC85" s="3" t="s">
        <v>156</v>
      </c>
      <c r="AE85" s="13">
        <f>AH85+AK85+AN85+AQ85+AT85+AW85+AZ85+BC85</f>
        <v>0</v>
      </c>
      <c r="AG85" s="13">
        <f>SQRT(AF85)</f>
        <v>0</v>
      </c>
      <c r="AH85" s="13">
        <f>IF(AG85&gt;0,AG85/AG$99*1000, 0)</f>
        <v>0</v>
      </c>
      <c r="AI85" s="13"/>
      <c r="AJ85" s="13">
        <f>SQRT(AI85)</f>
        <v>0</v>
      </c>
      <c r="AK85" s="13">
        <f>IF(AJ85&gt;0,AJ85/AJ$99*1000, 0)</f>
        <v>0</v>
      </c>
      <c r="AM85" s="13">
        <f>SQRT(AL85)</f>
        <v>0</v>
      </c>
      <c r="AN85" s="13">
        <f>IF(AM85&gt;0,AM85/AM$99*1000, 0)</f>
        <v>0</v>
      </c>
      <c r="AP85" s="13">
        <f>SQRT(AO85)</f>
        <v>0</v>
      </c>
      <c r="AQ85" s="13">
        <f>IF(AP85&gt;0,AP85/AP$99*1000, 0)</f>
        <v>0</v>
      </c>
      <c r="AS85" s="13">
        <f>SQRT(AR85)</f>
        <v>0</v>
      </c>
      <c r="AT85" s="13">
        <f>IF(AS85&gt;0,AS85/AS$99*1000, 0)</f>
        <v>0</v>
      </c>
      <c r="AV85" s="13">
        <f>SQRT(AU85)</f>
        <v>0</v>
      </c>
      <c r="AW85" s="13">
        <f>IF(AV85&gt;0,AV85/AV$99*1000, 0)</f>
        <v>0</v>
      </c>
      <c r="AY85" s="13">
        <f>SQRT(AX85)</f>
        <v>0</v>
      </c>
      <c r="AZ85" s="13">
        <f>IF(AY85&gt;0,AY85/AY$99*1000, 0)</f>
        <v>0</v>
      </c>
      <c r="BB85" s="13">
        <f>SQRT(BA85)</f>
        <v>0</v>
      </c>
      <c r="BC85" s="13">
        <f>IF(BB85&gt;0,BB85/BB$99*1000, 0)</f>
        <v>0</v>
      </c>
      <c r="BE85" s="21">
        <f>SQRT(BD85)</f>
        <v>0</v>
      </c>
      <c r="BF85" s="13">
        <f>IF(BE85&gt;0, BE85/BE$99*10000, 0)</f>
        <v>0</v>
      </c>
      <c r="BH85" s="13">
        <f>IF(BG85&gt;0, BG85/BG$99*2000, 0)</f>
        <v>0</v>
      </c>
      <c r="BI85" s="30">
        <v>-50</v>
      </c>
      <c r="BJ85" s="30">
        <v>-300</v>
      </c>
      <c r="BK85" s="30">
        <f>BJ85+BI85</f>
        <v>-350</v>
      </c>
      <c r="BL85" s="7"/>
      <c r="BM85" s="3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</row>
    <row r="86" spans="1:90" ht="20.100000000000001" customHeight="1" x14ac:dyDescent="0.25">
      <c r="B86" s="1">
        <v>80</v>
      </c>
      <c r="C86" s="50">
        <v>82</v>
      </c>
      <c r="D86" s="51" t="str">
        <f>IF(C86&lt;B86,"▲"&amp;B86-C86,IF(C86&gt;B86,"▼"&amp;C86-B86,"—"))</f>
        <v>▼2</v>
      </c>
      <c r="E86" s="52" t="s">
        <v>72</v>
      </c>
      <c r="F86" s="53">
        <f>G86+O86+W86+AE86+BF86+BH86+BK86</f>
        <v>-217.980100308386</v>
      </c>
      <c r="G86" s="19">
        <f>IF(COUNTIF(H86:INDEX(H86:N86,$B$1),"&gt;0")=0,0,
SUMIF(H86:INDEX(H86:N86,$B$1),"&gt;0",H86:INDEX(H86:N86,$B$1))*$B$1/COUNTIF(H86:INDEX(H86:N86,$B$1),"&gt;0")*
IF($B$1-COUNTIF(H86:INDEX(H86:N86,$B$1),"&gt;0")&lt;=2,1,
IF($B$1-COUNTIF(H86:INDEX(H86:N86,$B$1),"&gt;0")=3,0.8,
IF($B$1-COUNTIF(H86:INDEX(H86:N86,$B$1),"&gt;0")=4,0.6,
IF($B$1-COUNTIF(H86:INDEX(H86:N86,$B$1),"&gt;0")=5,0.4,
IF($B$1-COUNTIF(H86:INDEX(H86:N86,$B$1),"&gt;0")=6,0.2,0))))))</f>
        <v>195</v>
      </c>
      <c r="H86" s="3">
        <v>27</v>
      </c>
      <c r="I86" s="3">
        <v>44</v>
      </c>
      <c r="J86" s="3">
        <v>27</v>
      </c>
      <c r="K86" s="3">
        <v>25</v>
      </c>
      <c r="L86" s="3">
        <v>25</v>
      </c>
      <c r="M86" s="3">
        <v>35</v>
      </c>
      <c r="N86" s="3">
        <v>12</v>
      </c>
      <c r="O86" s="13">
        <f>0.2*IF(COUNTIF(P86:INDEX(P86:V86,$B$1),"&gt;0")=0,0,
(SUMIF(P86:INDEX(P86:V86,$B$1),"&gt;0",P86:INDEX(P86:V86,$B$1))*$B$1/COUNTIF(P86:INDEX(P86:V86,$B$1),"&gt;0"))*
IF($B$1-COUNTIF(P86:INDEX(P86:V86,$B$1),"&gt;0")&lt;=2,1,
IF($B$1-COUNTIF(P86:INDEX(P86:V86,$B$1),"&gt;0")=3,0.8,
IF($B$1-COUNTIF(P86:INDEX(P86:V86,$B$1),"&gt;0")=4,0.6,
IF($B$1-COUNTIF(P86:INDEX(P86:V86,$B$1),"&gt;0")=5,0.4,
IF($B$1-COUNTIF(P86:INDEX(P86:V86,$B$1),"&gt;0")=6,0.2,0))))))</f>
        <v>30.6</v>
      </c>
      <c r="P86" s="3">
        <v>34</v>
      </c>
      <c r="Q86" s="3">
        <v>23</v>
      </c>
      <c r="R86" s="3">
        <v>23</v>
      </c>
      <c r="S86" s="3">
        <v>19</v>
      </c>
      <c r="T86" s="3">
        <v>23</v>
      </c>
      <c r="U86" s="3">
        <v>17</v>
      </c>
      <c r="V86" s="3">
        <v>14</v>
      </c>
      <c r="W86" s="3">
        <f>MIN(100,
IF($B$1&gt;=1,IFERROR(VALUE(SUBSTITUTE(SUBSTITUTE(TRIM(X86),"A",""),"B","")),0),0)+
IF($B$1&gt;=2,IFERROR(VALUE(SUBSTITUTE(SUBSTITUTE(TRIM(Y86),"A",""),"B","")),0),0)+
IF($B$1&gt;=3,IFERROR(VALUE(SUBSTITUTE(SUBSTITUTE(TRIM(Z86),"A",""),"B","")),0),0)+
IF($B$1&gt;=4,IFERROR(VALUE(SUBSTITUTE(SUBSTITUTE(TRIM(AA86),"A",""),"B","")),0),0)+
IF($B$1&gt;=5,IFERROR(VALUE(SUBSTITUTE(SUBSTITUTE(TRIM(AB86),"A",""),"B","")),0),0)+
IF($B$1&gt;=6,IFERROR(VALUE(SUBSTITUTE(SUBSTITUTE(TRIM(AC86),"A",""),"B","")),0),0)+
IF($B$1&gt;=7,IFERROR(VALUE(SUBSTITUTE(SUBSTITUTE(TRIM(AD86),"A",""),"B","")),0),0)
)</f>
        <v>20</v>
      </c>
      <c r="X86" s="3"/>
      <c r="AC86" s="3" t="s">
        <v>156</v>
      </c>
      <c r="AE86" s="13">
        <f>AH86+AK86+AN86+AQ86+AT86+AW86+AZ86+BC86</f>
        <v>0</v>
      </c>
      <c r="AG86" s="13">
        <f>SQRT(AF86)</f>
        <v>0</v>
      </c>
      <c r="AH86" s="13">
        <f>IF(AG86&gt;0,AG86/AG$99*1000, 0)</f>
        <v>0</v>
      </c>
      <c r="AI86" s="13"/>
      <c r="AJ86" s="13">
        <f>SQRT(AI86)</f>
        <v>0</v>
      </c>
      <c r="AK86" s="13">
        <f>IF(AJ86&gt;0,AJ86/AJ$99*1000, 0)</f>
        <v>0</v>
      </c>
      <c r="AM86" s="13">
        <f>SQRT(AL86)</f>
        <v>0</v>
      </c>
      <c r="AN86" s="13">
        <f>IF(AM86&gt;0,AM86/AM$99*1000, 0)</f>
        <v>0</v>
      </c>
      <c r="AP86" s="13">
        <f>SQRT(AO86)</f>
        <v>0</v>
      </c>
      <c r="AQ86" s="13">
        <f>IF(AP86&gt;0,AP86/AP$99*1000, 0)</f>
        <v>0</v>
      </c>
      <c r="AS86" s="13">
        <f>SQRT(AR86)</f>
        <v>0</v>
      </c>
      <c r="AT86" s="13">
        <f>IF(AS86&gt;0,AS86/AS$99*1000, 0)</f>
        <v>0</v>
      </c>
      <c r="AV86" s="13">
        <f>SQRT(AU86)</f>
        <v>0</v>
      </c>
      <c r="AW86" s="13">
        <f>IF(AV86&gt;0,AV86/AV$99*1000, 0)</f>
        <v>0</v>
      </c>
      <c r="AY86" s="13">
        <f>SQRT(AX86)</f>
        <v>0</v>
      </c>
      <c r="AZ86" s="13">
        <f>IF(AY86&gt;0,AY86/AY$99*1000, 0)</f>
        <v>0</v>
      </c>
      <c r="BB86" s="13">
        <f>SQRT(BA86)</f>
        <v>0</v>
      </c>
      <c r="BC86" s="13">
        <f>IF(BB86&gt;0,BB86/BB$99*1000, 0)</f>
        <v>0</v>
      </c>
      <c r="BD86" s="24">
        <v>0.02</v>
      </c>
      <c r="BE86" s="21">
        <f>SQRT(BD86)</f>
        <v>0.1414213562373095</v>
      </c>
      <c r="BF86" s="13">
        <f>IF(BE86&gt;0, BE86/BE$99*10000, 0)</f>
        <v>36.419899691613985</v>
      </c>
      <c r="BH86" s="13">
        <f>IF(BG86&gt;0, BG86/BG$99*2000, 0)</f>
        <v>0</v>
      </c>
      <c r="BI86" s="30">
        <v>-200</v>
      </c>
      <c r="BJ86" s="30">
        <v>-300</v>
      </c>
      <c r="BK86" s="30">
        <f>BJ86+BI86</f>
        <v>-500</v>
      </c>
      <c r="BL86" s="7"/>
      <c r="BM86" s="3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</row>
    <row r="87" spans="1:90" s="6" customFormat="1" ht="20.100000000000001" customHeight="1" x14ac:dyDescent="0.25">
      <c r="A87" s="1"/>
      <c r="B87" s="1">
        <v>81</v>
      </c>
      <c r="C87" s="50">
        <v>83</v>
      </c>
      <c r="D87" s="51" t="str">
        <f>IF(C87&lt;B87,"▲"&amp;B87-C87,IF(C87&gt;B87,"▼"&amp;C87-B87,"—"))</f>
        <v>▼2</v>
      </c>
      <c r="E87" s="52" t="s">
        <v>86</v>
      </c>
      <c r="F87" s="53">
        <f>G87+O87+W87+AE87+BF87+BH87+BK87</f>
        <v>-234.420100308386</v>
      </c>
      <c r="G87" s="19">
        <f>IF(COUNTIF(H87:INDEX(H87:N87,$B$1),"&gt;0")=0,0,
SUMIF(H87:INDEX(H87:N87,$B$1),"&gt;0",H87:INDEX(H87:N87,$B$1))*$B$1/COUNTIF(H87:INDEX(H87:N87,$B$1),"&gt;0")*
IF($B$1-COUNTIF(H87:INDEX(H87:N87,$B$1),"&gt;0")&lt;=2,1,
IF($B$1-COUNTIF(H87:INDEX(H87:N87,$B$1),"&gt;0")=3,0.8,
IF($B$1-COUNTIF(H87:INDEX(H87:N87,$B$1),"&gt;0")=4,0.6,
IF($B$1-COUNTIF(H87:INDEX(H87:N87,$B$1),"&gt;0")=5,0.4,
IF($B$1-COUNTIF(H87:INDEX(H87:N87,$B$1),"&gt;0")=6,0.2,0))))))</f>
        <v>145.6</v>
      </c>
      <c r="H87" s="3">
        <v>-1</v>
      </c>
      <c r="I87" s="3">
        <v>-1</v>
      </c>
      <c r="J87" s="3">
        <v>18</v>
      </c>
      <c r="K87" s="3">
        <v>18</v>
      </c>
      <c r="L87" s="3">
        <v>25</v>
      </c>
      <c r="M87" s="3">
        <v>19</v>
      </c>
      <c r="N87" s="3">
        <v>24</v>
      </c>
      <c r="O87" s="13">
        <f>0.2*IF(COUNTIF(P87:INDEX(P87:V87,$B$1),"&gt;0")=0,0,
(SUMIF(P87:INDEX(P87:V87,$B$1),"&gt;0",P87:INDEX(P87:V87,$B$1))*$B$1/COUNTIF(P87:INDEX(P87:V87,$B$1),"&gt;0"))*
IF($B$1-COUNTIF(P87:INDEX(P87:V87,$B$1),"&gt;0")&lt;=2,1,
IF($B$1-COUNTIF(P87:INDEX(P87:V87,$B$1),"&gt;0")=3,0.8,
IF($B$1-COUNTIF(P87:INDEX(P87:V87,$B$1),"&gt;0")=4,0.6,
IF($B$1-COUNTIF(P87:INDEX(P87:V87,$B$1),"&gt;0")=5,0.4,
IF($B$1-COUNTIF(P87:INDEX(P87:V87,$B$1),"&gt;0")=6,0.2,0))))))</f>
        <v>63.56</v>
      </c>
      <c r="P87" s="3">
        <v>-1</v>
      </c>
      <c r="Q87" s="3">
        <v>-1</v>
      </c>
      <c r="R87" s="3">
        <v>39</v>
      </c>
      <c r="S87" s="3">
        <v>50</v>
      </c>
      <c r="T87" s="3">
        <v>45</v>
      </c>
      <c r="U87" s="3">
        <v>44</v>
      </c>
      <c r="V87" s="3">
        <v>49</v>
      </c>
      <c r="W87" s="3">
        <f>MIN(100,
IF($B$1&gt;=1,IFERROR(VALUE(SUBSTITUTE(SUBSTITUTE(TRIM(X87),"A",""),"B","")),0),0)+
IF($B$1&gt;=2,IFERROR(VALUE(SUBSTITUTE(SUBSTITUTE(TRIM(Y87),"A",""),"B","")),0),0)+
IF($B$1&gt;=3,IFERROR(VALUE(SUBSTITUTE(SUBSTITUTE(TRIM(Z87),"A",""),"B","")),0),0)+
IF($B$1&gt;=4,IFERROR(VALUE(SUBSTITUTE(SUBSTITUTE(TRIM(AA87),"A",""),"B","")),0),0)+
IF($B$1&gt;=5,IFERROR(VALUE(SUBSTITUTE(SUBSTITUTE(TRIM(AB87),"A",""),"B","")),0),0)+
IF($B$1&gt;=6,IFERROR(VALUE(SUBSTITUTE(SUBSTITUTE(TRIM(AC87),"A",""),"B","")),0),0)+
IF($B$1&gt;=7,IFERROR(VALUE(SUBSTITUTE(SUBSTITUTE(TRIM(AD87),"A",""),"B","")),0),0)
)</f>
        <v>20</v>
      </c>
      <c r="X87" s="3"/>
      <c r="Y87" s="3"/>
      <c r="Z87" s="3"/>
      <c r="AA87" s="3"/>
      <c r="AB87" s="3"/>
      <c r="AC87" s="3" t="s">
        <v>156</v>
      </c>
      <c r="AD87" s="3"/>
      <c r="AE87" s="13">
        <f>AH87+AK87+AN87+AQ87+AT87+AW87+AZ87+BC87</f>
        <v>0</v>
      </c>
      <c r="AF87" s="13"/>
      <c r="AG87" s="13">
        <f>SQRT(AF87)</f>
        <v>0</v>
      </c>
      <c r="AH87" s="13">
        <f>IF(AG87&gt;0,AG87/AG$99*1000, 0)</f>
        <v>0</v>
      </c>
      <c r="AI87" s="13"/>
      <c r="AJ87" s="13">
        <f>SQRT(AI87)</f>
        <v>0</v>
      </c>
      <c r="AK87" s="13">
        <f>IF(AJ87&gt;0,AJ87/AJ$99*1000, 0)</f>
        <v>0</v>
      </c>
      <c r="AL87" s="13"/>
      <c r="AM87" s="13">
        <f>SQRT(AL87)</f>
        <v>0</v>
      </c>
      <c r="AN87" s="13">
        <f>IF(AM87&gt;0,AM87/AM$99*1000, 0)</f>
        <v>0</v>
      </c>
      <c r="AO87" s="13"/>
      <c r="AP87" s="13">
        <f>SQRT(AO87)</f>
        <v>0</v>
      </c>
      <c r="AQ87" s="13">
        <f>IF(AP87&gt;0,AP87/AP$99*1000, 0)</f>
        <v>0</v>
      </c>
      <c r="AR87" s="13"/>
      <c r="AS87" s="13">
        <f>SQRT(AR87)</f>
        <v>0</v>
      </c>
      <c r="AT87" s="13">
        <f>IF(AS87&gt;0,AS87/AS$99*1000, 0)</f>
        <v>0</v>
      </c>
      <c r="AU87" s="13"/>
      <c r="AV87" s="13">
        <f>SQRT(AU87)</f>
        <v>0</v>
      </c>
      <c r="AW87" s="13">
        <f>IF(AV87&gt;0,AV87/AV$99*1000, 0)</f>
        <v>0</v>
      </c>
      <c r="AX87" s="13"/>
      <c r="AY87" s="13">
        <f>SQRT(AX87)</f>
        <v>0</v>
      </c>
      <c r="AZ87" s="13">
        <f>IF(AY87&gt;0,AY87/AY$99*1000, 0)</f>
        <v>0</v>
      </c>
      <c r="BA87" s="27"/>
      <c r="BB87" s="13">
        <f>SQRT(BA87)</f>
        <v>0</v>
      </c>
      <c r="BC87" s="13">
        <f>IF(BB87&gt;0,BB87/BB$99*1000, 0)</f>
        <v>0</v>
      </c>
      <c r="BD87" s="24">
        <v>0.02</v>
      </c>
      <c r="BE87" s="21">
        <f>SQRT(BD87)</f>
        <v>0.1414213562373095</v>
      </c>
      <c r="BF87" s="13">
        <f>IF(BE87&gt;0, BE87/BE$99*10000, 0)</f>
        <v>36.419899691613985</v>
      </c>
      <c r="BG87" s="27"/>
      <c r="BH87" s="13">
        <f>IF(BG87&gt;0, BG87/BG$99*2000, 0)</f>
        <v>0</v>
      </c>
      <c r="BI87" s="30">
        <v>-200</v>
      </c>
      <c r="BJ87" s="30">
        <v>-300</v>
      </c>
      <c r="BK87" s="30">
        <f>BJ87+BI87</f>
        <v>-500</v>
      </c>
      <c r="BL87" s="3"/>
      <c r="BM87" s="1"/>
      <c r="BN87" s="1"/>
      <c r="BO87" s="1"/>
    </row>
    <row r="88" spans="1:90" ht="20.100000000000001" customHeight="1" x14ac:dyDescent="0.25">
      <c r="B88" s="1">
        <v>82</v>
      </c>
      <c r="C88" s="50">
        <v>84</v>
      </c>
      <c r="D88" s="51" t="str">
        <f>IF(C88&lt;B88,"▲"&amp;B88-C88,IF(C88&gt;B88,"▼"&amp;C88-B88,"—"))</f>
        <v>▼2</v>
      </c>
      <c r="E88" s="52" t="s">
        <v>92</v>
      </c>
      <c r="F88" s="53">
        <f>G88+O88+W88+AE88+BF88+BH88+BK88</f>
        <v>-266.39845914009675</v>
      </c>
      <c r="G88" s="19">
        <f>IF(COUNTIF(H88:INDEX(H88:N88,$B$1),"&gt;0")=0,0,
SUMIF(H88:INDEX(H88:N88,$B$1),"&gt;0",H88:INDEX(H88:N88,$B$1))*$B$1/COUNTIF(H88:INDEX(H88:N88,$B$1),"&gt;0")*
IF($B$1-COUNTIF(H88:INDEX(H88:N88,$B$1),"&gt;0")&lt;=2,1,
IF($B$1-COUNTIF(H88:INDEX(H88:N88,$B$1),"&gt;0")=3,0.8,
IF($B$1-COUNTIF(H88:INDEX(H88:N88,$B$1),"&gt;0")=4,0.6,
IF($B$1-COUNTIF(H88:INDEX(H88:N88,$B$1),"&gt;0")=5,0.4,
IF($B$1-COUNTIF(H88:INDEX(H88:N88,$B$1),"&gt;0")=6,0.2,0))))))</f>
        <v>146</v>
      </c>
      <c r="H88" s="3">
        <v>8</v>
      </c>
      <c r="I88" s="3">
        <v>32</v>
      </c>
      <c r="J88" s="3">
        <v>7</v>
      </c>
      <c r="K88" s="3">
        <v>26</v>
      </c>
      <c r="L88" s="3">
        <v>21</v>
      </c>
      <c r="M88" s="3">
        <v>22</v>
      </c>
      <c r="N88" s="3">
        <v>30</v>
      </c>
      <c r="O88" s="13">
        <f>0.2*IF(COUNTIF(P88:INDEX(P88:V88,$B$1),"&gt;0")=0,0,
(SUMIF(P88:INDEX(P88:V88,$B$1),"&gt;0",P88:INDEX(P88:V88,$B$1))*$B$1/COUNTIF(P88:INDEX(P88:V88,$B$1),"&gt;0"))*
IF($B$1-COUNTIF(P88:INDEX(P88:V88,$B$1),"&gt;0")&lt;=2,1,
IF($B$1-COUNTIF(P88:INDEX(P88:V88,$B$1),"&gt;0")=3,0.8,
IF($B$1-COUNTIF(P88:INDEX(P88:V88,$B$1),"&gt;0")=4,0.6,
IF($B$1-COUNTIF(P88:INDEX(P88:V88,$B$1),"&gt;0")=5,0.4,
IF($B$1-COUNTIF(P88:INDEX(P88:V88,$B$1),"&gt;0")=6,0.2,0))))))</f>
        <v>28.400000000000002</v>
      </c>
      <c r="P88" s="3">
        <v>15</v>
      </c>
      <c r="Q88" s="3">
        <v>18</v>
      </c>
      <c r="R88" s="3">
        <v>15</v>
      </c>
      <c r="S88" s="3">
        <v>28</v>
      </c>
      <c r="T88" s="3">
        <v>27</v>
      </c>
      <c r="U88" s="3">
        <v>18</v>
      </c>
      <c r="V88" s="3">
        <v>21</v>
      </c>
      <c r="W88" s="3">
        <f>MIN(100,
IF($B$1&gt;=1,IFERROR(VALUE(SUBSTITUTE(SUBSTITUTE(TRIM(X88),"A",""),"B","")),0),0)+
IF($B$1&gt;=2,IFERROR(VALUE(SUBSTITUTE(SUBSTITUTE(TRIM(Y88),"A",""),"B","")),0),0)+
IF($B$1&gt;=3,IFERROR(VALUE(SUBSTITUTE(SUBSTITUTE(TRIM(Z88),"A",""),"B","")),0),0)+
IF($B$1&gt;=4,IFERROR(VALUE(SUBSTITUTE(SUBSTITUTE(TRIM(AA88),"A",""),"B","")),0),0)+
IF($B$1&gt;=5,IFERROR(VALUE(SUBSTITUTE(SUBSTITUTE(TRIM(AB88),"A",""),"B","")),0),0)+
IF($B$1&gt;=6,IFERROR(VALUE(SUBSTITUTE(SUBSTITUTE(TRIM(AC88),"A",""),"B","")),0),0)+
IF($B$1&gt;=7,IFERROR(VALUE(SUBSTITUTE(SUBSTITUTE(TRIM(AD88),"A",""),"B","")),0),0)
)</f>
        <v>20</v>
      </c>
      <c r="X88" s="3"/>
      <c r="AC88" s="3" t="s">
        <v>156</v>
      </c>
      <c r="AE88" s="13">
        <f>AH88+AK88+AN88+AQ88+AT88+AW88+AZ88+BC88</f>
        <v>0</v>
      </c>
      <c r="AG88" s="13">
        <f>SQRT(AF88)</f>
        <v>0</v>
      </c>
      <c r="AH88" s="13">
        <f>IF(AG88&gt;0,AG88/AG$99*1000, 0)</f>
        <v>0</v>
      </c>
      <c r="AI88" s="13"/>
      <c r="AJ88" s="13">
        <f>SQRT(AI88)</f>
        <v>0</v>
      </c>
      <c r="AK88" s="13">
        <f>IF(AJ88&gt;0,AJ88/AJ$99*1000, 0)</f>
        <v>0</v>
      </c>
      <c r="AM88" s="13">
        <f>SQRT(AL88)</f>
        <v>0</v>
      </c>
      <c r="AN88" s="13">
        <f>IF(AM88&gt;0,AM88/AM$99*1000, 0)</f>
        <v>0</v>
      </c>
      <c r="AP88" s="13">
        <f>SQRT(AO88)</f>
        <v>0</v>
      </c>
      <c r="AQ88" s="13">
        <f>IF(AP88&gt;0,AP88/AP$99*1000, 0)</f>
        <v>0</v>
      </c>
      <c r="AS88" s="13">
        <f>SQRT(AR88)</f>
        <v>0</v>
      </c>
      <c r="AT88" s="13">
        <f>IF(AS88&gt;0,AS88/AS$99*1000, 0)</f>
        <v>0</v>
      </c>
      <c r="AV88" s="13">
        <f>SQRT(AU88)</f>
        <v>0</v>
      </c>
      <c r="AW88" s="13">
        <f>IF(AV88&gt;0,AV88/AV$99*1000, 0)</f>
        <v>0</v>
      </c>
      <c r="AY88" s="13">
        <f>SQRT(AX88)</f>
        <v>0</v>
      </c>
      <c r="AZ88" s="13">
        <f>IF(AY88&gt;0,AY88/AY$99*1000, 0)</f>
        <v>0</v>
      </c>
      <c r="BB88" s="13">
        <f>SQRT(BA88)</f>
        <v>0</v>
      </c>
      <c r="BC88" s="13">
        <f>IF(BB88&gt;0,BB88/BB$99*1000, 0)</f>
        <v>0</v>
      </c>
      <c r="BD88" s="24">
        <v>0.02</v>
      </c>
      <c r="BE88" s="21">
        <f>SQRT(BD88)</f>
        <v>0.1414213562373095</v>
      </c>
      <c r="BF88" s="13">
        <f>IF(BE88&gt;0, BE88/BE$99*10000, 0)</f>
        <v>36.419899691613985</v>
      </c>
      <c r="BG88" s="27">
        <v>1</v>
      </c>
      <c r="BH88" s="13">
        <f>IF(BG88&gt;0, BG88/BG$99*2000, 0)</f>
        <v>2.7816411682892905</v>
      </c>
      <c r="BI88" s="30">
        <v>-200</v>
      </c>
      <c r="BJ88" s="30">
        <v>-300</v>
      </c>
      <c r="BK88" s="30">
        <f>BJ88+BI88</f>
        <v>-500</v>
      </c>
      <c r="BL88" s="3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</row>
    <row r="89" spans="1:90" ht="20.100000000000001" customHeight="1" x14ac:dyDescent="0.25">
      <c r="B89" s="1">
        <v>83</v>
      </c>
      <c r="C89" s="50">
        <v>85</v>
      </c>
      <c r="D89" s="51" t="str">
        <f>IF(C89&lt;B89,"▲"&amp;B89-C89,IF(C89&gt;B89,"▼"&amp;C89-B89,"—"))</f>
        <v>▼2</v>
      </c>
      <c r="E89" s="52" t="s">
        <v>84</v>
      </c>
      <c r="F89" s="53">
        <f>G89+O89+W89+AE89+BF89+BH89+BK89</f>
        <v>-273.26560078963661</v>
      </c>
      <c r="G89" s="19">
        <f>IF(COUNTIF(H89:INDEX(H89:N89,$B$1),"&gt;0")=0,0,
SUMIF(H89:INDEX(H89:N89,$B$1),"&gt;0",H89:INDEX(H89:N89,$B$1))*$B$1/COUNTIF(H89:INDEX(H89:N89,$B$1),"&gt;0")*
IF($B$1-COUNTIF(H89:INDEX(H89:N89,$B$1),"&gt;0")&lt;=2,1,
IF($B$1-COUNTIF(H89:INDEX(H89:N89,$B$1),"&gt;0")=3,0.8,
IF($B$1-COUNTIF(H89:INDEX(H89:N89,$B$1),"&gt;0")=4,0.6,
IF($B$1-COUNTIF(H89:INDEX(H89:N89,$B$1),"&gt;0")=5,0.4,
IF($B$1-COUNTIF(H89:INDEX(H89:N89,$B$1),"&gt;0")=6,0.2,0))))))</f>
        <v>147</v>
      </c>
      <c r="H89" s="3">
        <v>19</v>
      </c>
      <c r="I89" s="3">
        <v>16</v>
      </c>
      <c r="J89" s="3">
        <v>27</v>
      </c>
      <c r="K89" s="3">
        <v>30</v>
      </c>
      <c r="L89" s="3">
        <v>5</v>
      </c>
      <c r="M89" s="3">
        <v>9</v>
      </c>
      <c r="N89" s="3">
        <v>41</v>
      </c>
      <c r="O89" s="13">
        <f>0.2*IF(COUNTIF(P89:INDEX(P89:V89,$B$1),"&gt;0")=0,0,
(SUMIF(P89:INDEX(P89:V89,$B$1),"&gt;0",P89:INDEX(P89:V89,$B$1))*$B$1/COUNTIF(P89:INDEX(P89:V89,$B$1),"&gt;0"))*
IF($B$1-COUNTIF(P89:INDEX(P89:V89,$B$1),"&gt;0")&lt;=2,1,
IF($B$1-COUNTIF(P89:INDEX(P89:V89,$B$1),"&gt;0")=3,0.8,
IF($B$1-COUNTIF(P89:INDEX(P89:V89,$B$1),"&gt;0")=4,0.6,
IF($B$1-COUNTIF(P89:INDEX(P89:V89,$B$1),"&gt;0")=5,0.4,
IF($B$1-COUNTIF(P89:INDEX(P89:V89,$B$1),"&gt;0")=6,0.2,0))))))</f>
        <v>31.200000000000003</v>
      </c>
      <c r="P89" s="3">
        <v>26</v>
      </c>
      <c r="Q89" s="3">
        <v>27</v>
      </c>
      <c r="R89" s="3">
        <v>32</v>
      </c>
      <c r="S89" s="3">
        <v>17</v>
      </c>
      <c r="T89" s="3">
        <v>15</v>
      </c>
      <c r="U89" s="3">
        <v>22</v>
      </c>
      <c r="V89" s="3">
        <v>17</v>
      </c>
      <c r="W89" s="3">
        <f>MIN(100,
IF($B$1&gt;=1,IFERROR(VALUE(SUBSTITUTE(SUBSTITUTE(TRIM(X89),"A",""),"B","")),0),0)+
IF($B$1&gt;=2,IFERROR(VALUE(SUBSTITUTE(SUBSTITUTE(TRIM(Y89),"A",""),"B","")),0),0)+
IF($B$1&gt;=3,IFERROR(VALUE(SUBSTITUTE(SUBSTITUTE(TRIM(Z89),"A",""),"B","")),0),0)+
IF($B$1&gt;=4,IFERROR(VALUE(SUBSTITUTE(SUBSTITUTE(TRIM(AA89),"A",""),"B","")),0),0)+
IF($B$1&gt;=5,IFERROR(VALUE(SUBSTITUTE(SUBSTITUTE(TRIM(AB89),"A",""),"B","")),0),0)+
IF($B$1&gt;=6,IFERROR(VALUE(SUBSTITUTE(SUBSTITUTE(TRIM(AC89),"A",""),"B","")),0),0)+
IF($B$1&gt;=7,IFERROR(VALUE(SUBSTITUTE(SUBSTITUTE(TRIM(AD89),"A",""),"B","")),0),0)
)</f>
        <v>20</v>
      </c>
      <c r="X89" s="3"/>
      <c r="AC89" s="3" t="s">
        <v>156</v>
      </c>
      <c r="AE89" s="13">
        <f>AH89+AK89+AN89+AQ89+AT89+AW89+AZ89+BC89</f>
        <v>0</v>
      </c>
      <c r="AG89" s="13">
        <f>SQRT(AF89)</f>
        <v>0</v>
      </c>
      <c r="AH89" s="13">
        <f>IF(AG89&gt;0,AG89/AG$99*1000, 0)</f>
        <v>0</v>
      </c>
      <c r="AI89" s="13"/>
      <c r="AJ89" s="13">
        <f>SQRT(AI89)</f>
        <v>0</v>
      </c>
      <c r="AK89" s="13">
        <f>IF(AJ89&gt;0,AJ89/AJ$99*1000, 0)</f>
        <v>0</v>
      </c>
      <c r="AM89" s="13">
        <f>SQRT(AL89)</f>
        <v>0</v>
      </c>
      <c r="AN89" s="13">
        <f>IF(AM89&gt;0,AM89/AM$99*1000, 0)</f>
        <v>0</v>
      </c>
      <c r="AP89" s="13">
        <f>SQRT(AO89)</f>
        <v>0</v>
      </c>
      <c r="AQ89" s="13">
        <f>IF(AP89&gt;0,AP89/AP$99*1000, 0)</f>
        <v>0</v>
      </c>
      <c r="AS89" s="13">
        <f>SQRT(AR89)</f>
        <v>0</v>
      </c>
      <c r="AT89" s="13">
        <f>IF(AS89&gt;0,AS89/AS$99*1000, 0)</f>
        <v>0</v>
      </c>
      <c r="AV89" s="13">
        <f>SQRT(AU89)</f>
        <v>0</v>
      </c>
      <c r="AW89" s="13">
        <f>IF(AV89&gt;0,AV89/AV$99*1000, 0)</f>
        <v>0</v>
      </c>
      <c r="AY89" s="13">
        <f>SQRT(AX89)</f>
        <v>0</v>
      </c>
      <c r="AZ89" s="13">
        <f>IF(AY89&gt;0,AY89/AY$99*1000, 0)</f>
        <v>0</v>
      </c>
      <c r="BB89" s="13">
        <f>SQRT(BA89)</f>
        <v>0</v>
      </c>
      <c r="BC89" s="13">
        <f>IF(BB89&gt;0,BB89/BB$99*1000, 0)</f>
        <v>0</v>
      </c>
      <c r="BD89" s="24">
        <v>0.01</v>
      </c>
      <c r="BE89" s="21">
        <f>SQRT(BD89)</f>
        <v>0.1</v>
      </c>
      <c r="BF89" s="13">
        <f>IF(BE89&gt;0, BE89/BE$99*10000, 0)</f>
        <v>25.752758042074106</v>
      </c>
      <c r="BG89" s="27">
        <v>1</v>
      </c>
      <c r="BH89" s="13">
        <f>IF(BG89&gt;0, BG89/BG$99*2000, 0)</f>
        <v>2.7816411682892905</v>
      </c>
      <c r="BI89" s="30">
        <v>-200</v>
      </c>
      <c r="BJ89" s="30">
        <v>-300</v>
      </c>
      <c r="BK89" s="30">
        <f>BJ89+BI89</f>
        <v>-500</v>
      </c>
      <c r="BL89" s="3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</row>
    <row r="90" spans="1:90" ht="20.100000000000001" customHeight="1" x14ac:dyDescent="0.25">
      <c r="B90" s="1">
        <v>84</v>
      </c>
      <c r="C90" s="50">
        <v>86</v>
      </c>
      <c r="D90" s="51" t="str">
        <f>IF(C90&lt;B90,"▲"&amp;B90-C90,IF(C90&gt;B90,"▼"&amp;C90-B90,"—"))</f>
        <v>▼2</v>
      </c>
      <c r="E90" s="52" t="s">
        <v>91</v>
      </c>
      <c r="F90" s="53">
        <f>G90+O90+W90+AE90+BF90+BH90+BK90</f>
        <v>-307.52067728476874</v>
      </c>
      <c r="G90" s="19">
        <f>IF(COUNTIF(H90:INDEX(H90:N90,$B$1),"&gt;0")=0,0,
SUMIF(H90:INDEX(H90:N90,$B$1),"&gt;0",H90:INDEX(H90:N90,$B$1))*$B$1/COUNTIF(H90:INDEX(H90:N90,$B$1),"&gt;0")*
IF($B$1-COUNTIF(H90:INDEX(H90:N90,$B$1),"&gt;0")&lt;=2,1,
IF($B$1-COUNTIF(H90:INDEX(H90:N90,$B$1),"&gt;0")=3,0.8,
IF($B$1-COUNTIF(H90:INDEX(H90:N90,$B$1),"&gt;0")=4,0.6,
IF($B$1-COUNTIF(H90:INDEX(H90:N90,$B$1),"&gt;0")=5,0.4,
IF($B$1-COUNTIF(H90:INDEX(H90:N90,$B$1),"&gt;0")=6,0.2,0))))))</f>
        <v>96</v>
      </c>
      <c r="H90" s="3">
        <v>12</v>
      </c>
      <c r="I90" s="3">
        <v>18</v>
      </c>
      <c r="J90" s="3">
        <v>12</v>
      </c>
      <c r="K90" s="3">
        <v>13</v>
      </c>
      <c r="L90" s="3">
        <v>12</v>
      </c>
      <c r="M90" s="3">
        <v>18</v>
      </c>
      <c r="N90" s="3">
        <v>11</v>
      </c>
      <c r="O90" s="13">
        <f>0.2*IF(COUNTIF(P90:INDEX(P90:V90,$B$1),"&gt;0")=0,0,
(SUMIF(P90:INDEX(P90:V90,$B$1),"&gt;0",P90:INDEX(P90:V90,$B$1))*$B$1/COUNTIF(P90:INDEX(P90:V90,$B$1),"&gt;0"))*
IF($B$1-COUNTIF(P90:INDEX(P90:V90,$B$1),"&gt;0")&lt;=2,1,
IF($B$1-COUNTIF(P90:INDEX(P90:V90,$B$1),"&gt;0")=3,0.8,
IF($B$1-COUNTIF(P90:INDEX(P90:V90,$B$1),"&gt;0")=4,0.6,
IF($B$1-COUNTIF(P90:INDEX(P90:V90,$B$1),"&gt;0")=5,0.4,
IF($B$1-COUNTIF(P90:INDEX(P90:V90,$B$1),"&gt;0")=6,0.2,0))))))</f>
        <v>39.6</v>
      </c>
      <c r="P90" s="3">
        <v>27</v>
      </c>
      <c r="Q90" s="3">
        <v>18</v>
      </c>
      <c r="R90" s="3">
        <v>29</v>
      </c>
      <c r="S90" s="3">
        <v>39</v>
      </c>
      <c r="T90" s="3">
        <v>23</v>
      </c>
      <c r="U90" s="3">
        <v>30</v>
      </c>
      <c r="V90" s="3">
        <v>32</v>
      </c>
      <c r="W90" s="3">
        <f>MIN(100,
IF($B$1&gt;=1,IFERROR(VALUE(SUBSTITUTE(SUBSTITUTE(TRIM(X90),"A",""),"B","")),0),0)+
IF($B$1&gt;=2,IFERROR(VALUE(SUBSTITUTE(SUBSTITUTE(TRIM(Y90),"A",""),"B","")),0),0)+
IF($B$1&gt;=3,IFERROR(VALUE(SUBSTITUTE(SUBSTITUTE(TRIM(Z90),"A",""),"B","")),0),0)+
IF($B$1&gt;=4,IFERROR(VALUE(SUBSTITUTE(SUBSTITUTE(TRIM(AA90),"A",""),"B","")),0),0)+
IF($B$1&gt;=5,IFERROR(VALUE(SUBSTITUTE(SUBSTITUTE(TRIM(AB90),"A",""),"B","")),0),0)+
IF($B$1&gt;=6,IFERROR(VALUE(SUBSTITUTE(SUBSTITUTE(TRIM(AC90),"A",""),"B","")),0),0)+
IF($B$1&gt;=7,IFERROR(VALUE(SUBSTITUTE(SUBSTITUTE(TRIM(AD90),"A",""),"B","")),0),0)
)</f>
        <v>20</v>
      </c>
      <c r="X90" s="3"/>
      <c r="AC90" s="3" t="s">
        <v>156</v>
      </c>
      <c r="AE90" s="13">
        <f>AH90+AK90+AN90+AQ90+AT90+AW90+AZ90+BC90</f>
        <v>0</v>
      </c>
      <c r="AG90" s="13">
        <f>SQRT(AF90)</f>
        <v>0</v>
      </c>
      <c r="AH90" s="13">
        <f>IF(AG90&gt;0,AG90/AG$99*1000, 0)</f>
        <v>0</v>
      </c>
      <c r="AI90" s="13"/>
      <c r="AJ90" s="13">
        <f>SQRT(AI90)</f>
        <v>0</v>
      </c>
      <c r="AK90" s="13">
        <f>IF(AJ90&gt;0,AJ90/AJ$99*1000, 0)</f>
        <v>0</v>
      </c>
      <c r="AM90" s="13">
        <f>SQRT(AL90)</f>
        <v>0</v>
      </c>
      <c r="AN90" s="13">
        <f>IF(AM90&gt;0,AM90/AM$99*1000, 0)</f>
        <v>0</v>
      </c>
      <c r="AP90" s="13">
        <f>SQRT(AO90)</f>
        <v>0</v>
      </c>
      <c r="AQ90" s="13">
        <f>IF(AP90&gt;0,AP90/AP$99*1000, 0)</f>
        <v>0</v>
      </c>
      <c r="AS90" s="13">
        <f>SQRT(AR90)</f>
        <v>0</v>
      </c>
      <c r="AT90" s="13">
        <f>IF(AS90&gt;0,AS90/AS$99*1000, 0)</f>
        <v>0</v>
      </c>
      <c r="AV90" s="13">
        <f>SQRT(AU90)</f>
        <v>0</v>
      </c>
      <c r="AW90" s="13">
        <f>IF(AV90&gt;0,AV90/AV$99*1000, 0)</f>
        <v>0</v>
      </c>
      <c r="AY90" s="13">
        <f>SQRT(AX90)</f>
        <v>0</v>
      </c>
      <c r="AZ90" s="13">
        <f>IF(AY90&gt;0,AY90/AY$99*1000, 0)</f>
        <v>0</v>
      </c>
      <c r="BB90" s="13">
        <f>SQRT(BA90)</f>
        <v>0</v>
      </c>
      <c r="BC90" s="13">
        <f>IF(BB90&gt;0,BB90/BB$99*1000, 0)</f>
        <v>0</v>
      </c>
      <c r="BD90" s="24">
        <v>0.01</v>
      </c>
      <c r="BE90" s="21">
        <f>SQRT(BD90)</f>
        <v>0.1</v>
      </c>
      <c r="BF90" s="13">
        <f>IF(BE90&gt;0, BE90/BE$99*10000, 0)</f>
        <v>25.752758042074106</v>
      </c>
      <c r="BG90" s="27">
        <v>4</v>
      </c>
      <c r="BH90" s="13">
        <f>IF(BG90&gt;0, BG90/BG$99*2000, 0)</f>
        <v>11.126564673157162</v>
      </c>
      <c r="BI90" s="30">
        <v>-200</v>
      </c>
      <c r="BJ90" s="30">
        <v>-300</v>
      </c>
      <c r="BK90" s="30">
        <f>BJ90+BI90</f>
        <v>-500</v>
      </c>
      <c r="BL90" s="3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</row>
    <row r="91" spans="1:90" ht="20.100000000000001" customHeight="1" x14ac:dyDescent="0.25">
      <c r="B91" s="1">
        <v>85</v>
      </c>
      <c r="C91" s="50">
        <v>87</v>
      </c>
      <c r="D91" s="51" t="str">
        <f>IF(C91&lt;B91,"▲"&amp;B91-C91,IF(C91&gt;B91,"▼"&amp;C91-B91,"—"))</f>
        <v>▼2</v>
      </c>
      <c r="E91" s="52" t="s">
        <v>93</v>
      </c>
      <c r="F91" s="53">
        <f>G91+O91+W91+AE91+BF91+BH91+BK91</f>
        <v>-334.84676697505267</v>
      </c>
      <c r="G91" s="19">
        <f>IF(COUNTIF(H91:INDEX(H91:N91,$B$1),"&gt;0")=0,0,
SUMIF(H91:INDEX(H91:N91,$B$1),"&gt;0",H91:INDEX(H91:N91,$B$1))*$B$1/COUNTIF(H91:INDEX(H91:N91,$B$1),"&gt;0")*
IF($B$1-COUNTIF(H91:INDEX(H91:N91,$B$1),"&gt;0")&lt;=2,1,
IF($B$1-COUNTIF(H91:INDEX(H91:N91,$B$1),"&gt;0")=3,0.8,
IF($B$1-COUNTIF(H91:INDEX(H91:N91,$B$1),"&gt;0")=4,0.6,
IF($B$1-COUNTIF(H91:INDEX(H91:N91,$B$1),"&gt;0")=5,0.4,
IF($B$1-COUNTIF(H91:INDEX(H91:N91,$B$1),"&gt;0")=6,0.2,0))))))</f>
        <v>96.6</v>
      </c>
      <c r="H91" s="3">
        <v>-1</v>
      </c>
      <c r="I91" s="3">
        <v>22</v>
      </c>
      <c r="J91" s="3">
        <v>10</v>
      </c>
      <c r="K91" s="3">
        <v>-1</v>
      </c>
      <c r="L91" s="3">
        <v>14</v>
      </c>
      <c r="M91" s="3">
        <v>12</v>
      </c>
      <c r="N91" s="3">
        <v>11</v>
      </c>
      <c r="O91" s="13">
        <f>0.2*IF(COUNTIF(P91:INDEX(P91:V91,$B$1),"&gt;0")=0,0,
(SUMIF(P91:INDEX(P91:V91,$B$1),"&gt;0",P91:INDEX(P91:V91,$B$1))*$B$1/COUNTIF(P91:INDEX(P91:V91,$B$1),"&gt;0"))*
IF($B$1-COUNTIF(P91:INDEX(P91:V91,$B$1),"&gt;0")&lt;=2,1,
IF($B$1-COUNTIF(P91:INDEX(P91:V91,$B$1),"&gt;0")=3,0.8,
IF($B$1-COUNTIF(P91:INDEX(P91:V91,$B$1),"&gt;0")=4,0.6,
IF($B$1-COUNTIF(P91:INDEX(P91:V91,$B$1),"&gt;0")=5,0.4,
IF($B$1-COUNTIF(P91:INDEX(P91:V91,$B$1),"&gt;0")=6,0.2,0))))))</f>
        <v>12.133333333333333</v>
      </c>
      <c r="P91" s="3">
        <v>-1</v>
      </c>
      <c r="Q91" s="3">
        <v>16</v>
      </c>
      <c r="R91" s="3">
        <v>5</v>
      </c>
      <c r="S91" s="3">
        <v>6</v>
      </c>
      <c r="T91" s="3">
        <v>7</v>
      </c>
      <c r="U91" s="3">
        <v>9</v>
      </c>
      <c r="V91" s="3">
        <v>9</v>
      </c>
      <c r="W91" s="3">
        <f>MIN(100,
IF($B$1&gt;=1,IFERROR(VALUE(SUBSTITUTE(SUBSTITUTE(TRIM(X91),"A",""),"B","")),0),0)+
IF($B$1&gt;=2,IFERROR(VALUE(SUBSTITUTE(SUBSTITUTE(TRIM(Y91),"A",""),"B","")),0),0)+
IF($B$1&gt;=3,IFERROR(VALUE(SUBSTITUTE(SUBSTITUTE(TRIM(Z91),"A",""),"B","")),0),0)+
IF($B$1&gt;=4,IFERROR(VALUE(SUBSTITUTE(SUBSTITUTE(TRIM(AA91),"A",""),"B","")),0),0)+
IF($B$1&gt;=5,IFERROR(VALUE(SUBSTITUTE(SUBSTITUTE(TRIM(AB91),"A",""),"B","")),0),0)+
IF($B$1&gt;=6,IFERROR(VALUE(SUBSTITUTE(SUBSTITUTE(TRIM(AC91),"A",""),"B","")),0),0)+
IF($B$1&gt;=7,IFERROR(VALUE(SUBSTITUTE(SUBSTITUTE(TRIM(AD91),"A",""),"B","")),0),0)
)</f>
        <v>20</v>
      </c>
      <c r="X91" s="3"/>
      <c r="AC91" s="3" t="s">
        <v>156</v>
      </c>
      <c r="AE91" s="13">
        <f>AH91+AK91+AN91+AQ91+AT91+AW91+AZ91+BC91</f>
        <v>0</v>
      </c>
      <c r="AG91" s="13">
        <f>SQRT(AF91)</f>
        <v>0</v>
      </c>
      <c r="AH91" s="13">
        <f>IF(AG91&gt;0,AG91/AG$99*1000, 0)</f>
        <v>0</v>
      </c>
      <c r="AI91" s="13"/>
      <c r="AJ91" s="13">
        <f>SQRT(AI91)</f>
        <v>0</v>
      </c>
      <c r="AK91" s="13">
        <f>IF(AJ91&gt;0,AJ91/AJ$99*1000, 0)</f>
        <v>0</v>
      </c>
      <c r="AM91" s="13">
        <f>SQRT(AL91)</f>
        <v>0</v>
      </c>
      <c r="AN91" s="13">
        <f>IF(AM91&gt;0,AM91/AM$99*1000, 0)</f>
        <v>0</v>
      </c>
      <c r="AP91" s="13">
        <f>SQRT(AO91)</f>
        <v>0</v>
      </c>
      <c r="AQ91" s="13">
        <f>IF(AP91&gt;0,AP91/AP$99*1000, 0)</f>
        <v>0</v>
      </c>
      <c r="AS91" s="13">
        <f>SQRT(AR91)</f>
        <v>0</v>
      </c>
      <c r="AT91" s="13">
        <f>IF(AS91&gt;0,AS91/AS$99*1000, 0)</f>
        <v>0</v>
      </c>
      <c r="AV91" s="13">
        <f>SQRT(AU91)</f>
        <v>0</v>
      </c>
      <c r="AW91" s="13">
        <f>IF(AV91&gt;0,AV91/AV$99*1000, 0)</f>
        <v>0</v>
      </c>
      <c r="AY91" s="13">
        <f>SQRT(AX91)</f>
        <v>0</v>
      </c>
      <c r="AZ91" s="13">
        <f>IF(AY91&gt;0,AY91/AY$99*1000, 0)</f>
        <v>0</v>
      </c>
      <c r="BB91" s="13">
        <f>SQRT(BA91)</f>
        <v>0</v>
      </c>
      <c r="BC91" s="13">
        <f>IF(BB91&gt;0,BB91/BB$99*1000, 0)</f>
        <v>0</v>
      </c>
      <c r="BD91" s="24">
        <v>0.02</v>
      </c>
      <c r="BE91" s="21">
        <f>SQRT(BD91)</f>
        <v>0.1414213562373095</v>
      </c>
      <c r="BF91" s="13">
        <f>IF(BE91&gt;0, BE91/BE$99*10000, 0)</f>
        <v>36.419899691613985</v>
      </c>
      <c r="BH91" s="13">
        <f>IF(BG91&gt;0, BG91/BG$99*2000, 0)</f>
        <v>0</v>
      </c>
      <c r="BI91" s="30">
        <v>-200</v>
      </c>
      <c r="BJ91" s="30">
        <v>-300</v>
      </c>
      <c r="BK91" s="30">
        <f>BJ91+BI91</f>
        <v>-500</v>
      </c>
      <c r="BL91" s="3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</row>
    <row r="92" spans="1:90" ht="20.100000000000001" customHeight="1" x14ac:dyDescent="0.25">
      <c r="B92" s="1">
        <v>87</v>
      </c>
      <c r="C92" s="50">
        <v>88</v>
      </c>
      <c r="D92" s="51" t="str">
        <f>IF(C92&lt;B92,"▲"&amp;B92-C92,IF(C92&gt;B92,"▼"&amp;C92-B92,"—"))</f>
        <v>▼1</v>
      </c>
      <c r="E92" s="52" t="s">
        <v>113</v>
      </c>
      <c r="F92" s="53">
        <f>G92+O92+W92+AE92+BF92+BH92+BK92</f>
        <v>-375.88395962134734</v>
      </c>
      <c r="G92" s="19">
        <f>IF(COUNTIF(H92:INDEX(H92:N92,$B$1),"&gt;0")=0,0,
SUMIF(H92:INDEX(H92:N92,$B$1),"&gt;0",H92:INDEX(H92:N92,$B$1))*$B$1/COUNTIF(H92:INDEX(H92:N92,$B$1),"&gt;0")*
IF($B$1-COUNTIF(H92:INDEX(H92:N92,$B$1),"&gt;0")&lt;=2,1,
IF($B$1-COUNTIF(H92:INDEX(H92:N92,$B$1),"&gt;0")=3,0.8,
IF($B$1-COUNTIF(H92:INDEX(H92:N92,$B$1),"&gt;0")=4,0.6,
IF($B$1-COUNTIF(H92:INDEX(H92:N92,$B$1),"&gt;0")=5,0.4,
IF($B$1-COUNTIF(H92:INDEX(H92:N92,$B$1),"&gt;0")=6,0.2,0))))))</f>
        <v>65.8</v>
      </c>
      <c r="H92" s="3">
        <v>-1</v>
      </c>
      <c r="I92" s="3">
        <v>-1</v>
      </c>
      <c r="J92" s="3">
        <v>-1</v>
      </c>
      <c r="K92" s="3">
        <v>-1</v>
      </c>
      <c r="L92" s="3">
        <v>35</v>
      </c>
      <c r="M92" s="3">
        <v>-1</v>
      </c>
      <c r="N92" s="3">
        <v>12</v>
      </c>
      <c r="O92" s="13">
        <f>0.2*IF(COUNTIF(P92:INDEX(P92:V92,$B$1),"&gt;0")=0,0,
(SUMIF(P92:INDEX(P92:V92,$B$1),"&gt;0",P92:INDEX(P92:V92,$B$1))*$B$1/COUNTIF(P92:INDEX(P92:V92,$B$1),"&gt;0"))*
IF($B$1-COUNTIF(P92:INDEX(P92:V92,$B$1),"&gt;0")&lt;=2,1,
IF($B$1-COUNTIF(P92:INDEX(P92:V92,$B$1),"&gt;0")=3,0.8,
IF($B$1-COUNTIF(P92:INDEX(P92:V92,$B$1),"&gt;0")=4,0.6,
IF($B$1-COUNTIF(P92:INDEX(P92:V92,$B$1),"&gt;0")=5,0.4,
IF($B$1-COUNTIF(P92:INDEX(P92:V92,$B$1),"&gt;0")=6,0.2,0))))))</f>
        <v>7</v>
      </c>
      <c r="P92" s="3">
        <v>-1</v>
      </c>
      <c r="Q92" s="3">
        <v>-1</v>
      </c>
      <c r="R92" s="3">
        <v>-1</v>
      </c>
      <c r="S92" s="3">
        <v>1</v>
      </c>
      <c r="T92" s="3">
        <v>15</v>
      </c>
      <c r="U92" s="3">
        <v>-1</v>
      </c>
      <c r="V92" s="3">
        <v>9</v>
      </c>
      <c r="W92" s="3">
        <f>MIN(100,
IF($B$1&gt;=1,IFERROR(VALUE(SUBSTITUTE(SUBSTITUTE(TRIM(X92),"A",""),"B","")),0),0)+
IF($B$1&gt;=2,IFERROR(VALUE(SUBSTITUTE(SUBSTITUTE(TRIM(Y92),"A",""),"B","")),0),0)+
IF($B$1&gt;=3,IFERROR(VALUE(SUBSTITUTE(SUBSTITUTE(TRIM(Z92),"A",""),"B","")),0),0)+
IF($B$1&gt;=4,IFERROR(VALUE(SUBSTITUTE(SUBSTITUTE(TRIM(AA92),"A",""),"B","")),0),0)+
IF($B$1&gt;=5,IFERROR(VALUE(SUBSTITUTE(SUBSTITUTE(TRIM(AB92),"A",""),"B","")),0),0)+
IF($B$1&gt;=6,IFERROR(VALUE(SUBSTITUTE(SUBSTITUTE(TRIM(AC92),"A",""),"B","")),0),0)+
IF($B$1&gt;=7,IFERROR(VALUE(SUBSTITUTE(SUBSTITUTE(TRIM(AD92),"A",""),"B","")),0),0)
)</f>
        <v>20</v>
      </c>
      <c r="X92" s="3"/>
      <c r="AC92" s="3" t="s">
        <v>156</v>
      </c>
      <c r="AE92" s="13">
        <f>AH92+AK92+AN92+AQ92+AT92+AW92+AZ92+BC92</f>
        <v>0</v>
      </c>
      <c r="AG92" s="13">
        <f>SQRT(AF92)</f>
        <v>0</v>
      </c>
      <c r="AH92" s="13">
        <f>IF(AG92&gt;0,AG92/AG$99*1000, 0)</f>
        <v>0</v>
      </c>
      <c r="AI92" s="13"/>
      <c r="AJ92" s="13">
        <f>SQRT(AI92)</f>
        <v>0</v>
      </c>
      <c r="AK92" s="13">
        <f>IF(AJ92&gt;0,AJ92/AJ$99*1000, 0)</f>
        <v>0</v>
      </c>
      <c r="AM92" s="13">
        <f>SQRT(AL92)</f>
        <v>0</v>
      </c>
      <c r="AN92" s="13">
        <f>IF(AM92&gt;0,AM92/AM$99*1000, 0)</f>
        <v>0</v>
      </c>
      <c r="AP92" s="13">
        <f>SQRT(AO92)</f>
        <v>0</v>
      </c>
      <c r="AQ92" s="13">
        <f>IF(AP92&gt;0,AP92/AP$99*1000, 0)</f>
        <v>0</v>
      </c>
      <c r="AS92" s="13">
        <f>SQRT(AR92)</f>
        <v>0</v>
      </c>
      <c r="AT92" s="13">
        <f>IF(AS92&gt;0,AS92/AS$99*1000, 0)</f>
        <v>0</v>
      </c>
      <c r="AV92" s="13">
        <f>SQRT(AU92)</f>
        <v>0</v>
      </c>
      <c r="AW92" s="13">
        <f>IF(AV92&gt;0,AV92/AV$99*1000, 0)</f>
        <v>0</v>
      </c>
      <c r="AY92" s="13">
        <f>SQRT(AX92)</f>
        <v>0</v>
      </c>
      <c r="AZ92" s="13">
        <f>IF(AY92&gt;0,AY92/AY$99*1000, 0)</f>
        <v>0</v>
      </c>
      <c r="BB92" s="13">
        <f>SQRT(BA92)</f>
        <v>0</v>
      </c>
      <c r="BC92" s="13">
        <f>IF(BB92&gt;0,BB92/BB$99*1000, 0)</f>
        <v>0</v>
      </c>
      <c r="BD92" s="24">
        <v>0.01</v>
      </c>
      <c r="BE92" s="21">
        <f>SQRT(BD92)</f>
        <v>0.1</v>
      </c>
      <c r="BF92" s="13">
        <f>IF(BE92&gt;0, BE92/BE$99*10000, 0)</f>
        <v>25.752758042074106</v>
      </c>
      <c r="BG92" s="27">
        <v>2</v>
      </c>
      <c r="BH92" s="13">
        <f>IF(BG92&gt;0, BG92/BG$99*2000, 0)</f>
        <v>5.5632823365785811</v>
      </c>
      <c r="BI92" s="30">
        <v>-200</v>
      </c>
      <c r="BJ92" s="30">
        <v>-300</v>
      </c>
      <c r="BK92" s="30">
        <f>BJ92+BI92</f>
        <v>-500</v>
      </c>
      <c r="BL92" s="3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</row>
    <row r="93" spans="1:90" ht="20.100000000000001" customHeight="1" x14ac:dyDescent="0.25">
      <c r="B93" s="1">
        <v>86</v>
      </c>
      <c r="C93" s="50">
        <v>89</v>
      </c>
      <c r="D93" s="51" t="str">
        <f>IF(C93&lt;B93,"▲"&amp;B93-C93,IF(C93&gt;B93,"▼"&amp;C93-B93,"—"))</f>
        <v>▼3</v>
      </c>
      <c r="E93" s="52" t="s">
        <v>94</v>
      </c>
      <c r="F93" s="53">
        <f>G93+O93+W93+AE93+BF93+BH93+BK93</f>
        <v>-382.84724195792592</v>
      </c>
      <c r="G93" s="19">
        <f>IF(COUNTIF(H93:INDEX(H93:N93,$B$1),"&gt;0")=0,0,
SUMIF(H93:INDEX(H93:N93,$B$1),"&gt;0",H93:INDEX(H93:N93,$B$1))*$B$1/COUNTIF(H93:INDEX(H93:N93,$B$1),"&gt;0")*
IF($B$1-COUNTIF(H93:INDEX(H93:N93,$B$1),"&gt;0")&lt;=2,1,
IF($B$1-COUNTIF(H93:INDEX(H93:N93,$B$1),"&gt;0")=3,0.8,
IF($B$1-COUNTIF(H93:INDEX(H93:N93,$B$1),"&gt;0")=4,0.6,
IF($B$1-COUNTIF(H93:INDEX(H93:N93,$B$1),"&gt;0")=5,0.4,
IF($B$1-COUNTIF(H93:INDEX(H93:N93,$B$1),"&gt;0")=6,0.2,0))))))</f>
        <v>52</v>
      </c>
      <c r="H93" s="3">
        <v>7</v>
      </c>
      <c r="I93" s="3">
        <v>16</v>
      </c>
      <c r="J93" s="3">
        <v>14</v>
      </c>
      <c r="K93" s="3">
        <v>3</v>
      </c>
      <c r="L93" s="3">
        <v>1</v>
      </c>
      <c r="M93" s="3">
        <v>10</v>
      </c>
      <c r="N93" s="3">
        <v>1</v>
      </c>
      <c r="O93" s="13">
        <f>0.2*IF(COUNTIF(P93:INDEX(P93:V93,$B$1),"&gt;0")=0,0,
(SUMIF(P93:INDEX(P93:V93,$B$1),"&gt;0",P93:INDEX(P93:V93,$B$1))*$B$1/COUNTIF(P93:INDEX(P93:V93,$B$1),"&gt;0"))*
IF($B$1-COUNTIF(P93:INDEX(P93:V93,$B$1),"&gt;0")&lt;=2,1,
IF($B$1-COUNTIF(P93:INDEX(P93:V93,$B$1),"&gt;0")=3,0.8,
IF($B$1-COUNTIF(P93:INDEX(P93:V93,$B$1),"&gt;0")=4,0.6,
IF($B$1-COUNTIF(P93:INDEX(P93:V93,$B$1),"&gt;0")=5,0.4,
IF($B$1-COUNTIF(P93:INDEX(P93:V93,$B$1),"&gt;0")=6,0.2,0))))))</f>
        <v>19.400000000000002</v>
      </c>
      <c r="P93" s="3">
        <v>24</v>
      </c>
      <c r="Q93" s="3">
        <v>20</v>
      </c>
      <c r="R93" s="3">
        <v>23</v>
      </c>
      <c r="S93" s="3">
        <v>6</v>
      </c>
      <c r="T93" s="3">
        <v>9</v>
      </c>
      <c r="U93" s="3">
        <v>12</v>
      </c>
      <c r="V93" s="3">
        <v>3</v>
      </c>
      <c r="W93" s="3">
        <f>MIN(100,
IF($B$1&gt;=1,IFERROR(VALUE(SUBSTITUTE(SUBSTITUTE(TRIM(X93),"A",""),"B","")),0),0)+
IF($B$1&gt;=2,IFERROR(VALUE(SUBSTITUTE(SUBSTITUTE(TRIM(Y93),"A",""),"B","")),0),0)+
IF($B$1&gt;=3,IFERROR(VALUE(SUBSTITUTE(SUBSTITUTE(TRIM(Z93),"A",""),"B","")),0),0)+
IF($B$1&gt;=4,IFERROR(VALUE(SUBSTITUTE(SUBSTITUTE(TRIM(AA93),"A",""),"B","")),0),0)+
IF($B$1&gt;=5,IFERROR(VALUE(SUBSTITUTE(SUBSTITUTE(TRIM(AB93),"A",""),"B","")),0),0)+
IF($B$1&gt;=6,IFERROR(VALUE(SUBSTITUTE(SUBSTITUTE(TRIM(AC93),"A",""),"B","")),0),0)+
IF($B$1&gt;=7,IFERROR(VALUE(SUBSTITUTE(SUBSTITUTE(TRIM(AD93),"A",""),"B","")),0),0)
)</f>
        <v>20</v>
      </c>
      <c r="X93" s="3"/>
      <c r="AC93" s="3" t="s">
        <v>156</v>
      </c>
      <c r="AE93" s="13">
        <f>AH93+AK93+AN93+AQ93+AT93+AW93+AZ93+BC93</f>
        <v>0</v>
      </c>
      <c r="AG93" s="13">
        <f>SQRT(AF93)</f>
        <v>0</v>
      </c>
      <c r="AH93" s="13">
        <f>IF(AG93&gt;0,AG93/AG$99*1000, 0)</f>
        <v>0</v>
      </c>
      <c r="AI93" s="13"/>
      <c r="AJ93" s="13">
        <f>SQRT(AI93)</f>
        <v>0</v>
      </c>
      <c r="AK93" s="13">
        <f>IF(AJ93&gt;0,AJ93/AJ$99*1000, 0)</f>
        <v>0</v>
      </c>
      <c r="AM93" s="13">
        <f>SQRT(AL93)</f>
        <v>0</v>
      </c>
      <c r="AN93" s="13">
        <f>IF(AM93&gt;0,AM93/AM$99*1000, 0)</f>
        <v>0</v>
      </c>
      <c r="AP93" s="13">
        <f>SQRT(AO93)</f>
        <v>0</v>
      </c>
      <c r="AQ93" s="13">
        <f>IF(AP93&gt;0,AP93/AP$99*1000, 0)</f>
        <v>0</v>
      </c>
      <c r="AS93" s="13">
        <f>SQRT(AR93)</f>
        <v>0</v>
      </c>
      <c r="AT93" s="13">
        <f>IF(AS93&gt;0,AS93/AS$99*1000, 0)</f>
        <v>0</v>
      </c>
      <c r="AV93" s="13">
        <f>SQRT(AU93)</f>
        <v>0</v>
      </c>
      <c r="AW93" s="13">
        <f>IF(AV93&gt;0,AV93/AV$99*1000, 0)</f>
        <v>0</v>
      </c>
      <c r="AY93" s="13">
        <f>SQRT(AX93)</f>
        <v>0</v>
      </c>
      <c r="AZ93" s="13">
        <f>IF(AY93&gt;0,AY93/AY$99*1000, 0)</f>
        <v>0</v>
      </c>
      <c r="BB93" s="13">
        <f>SQRT(BA93)</f>
        <v>0</v>
      </c>
      <c r="BC93" s="13">
        <f>IF(BB93&gt;0,BB93/BB$99*1000, 0)</f>
        <v>0</v>
      </c>
      <c r="BD93" s="24">
        <v>0.01</v>
      </c>
      <c r="BE93" s="21">
        <f>SQRT(BD93)</f>
        <v>0.1</v>
      </c>
      <c r="BF93" s="13">
        <f>IF(BE93&gt;0, BE93/BE$99*10000, 0)</f>
        <v>25.752758042074106</v>
      </c>
      <c r="BH93" s="13">
        <f>IF(BG93&gt;0, BG93/BG$99*2000, 0)</f>
        <v>0</v>
      </c>
      <c r="BI93" s="30">
        <v>-200</v>
      </c>
      <c r="BJ93" s="30">
        <v>-300</v>
      </c>
      <c r="BK93" s="30">
        <f>BJ93+BI93</f>
        <v>-500</v>
      </c>
      <c r="BL93" s="3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</row>
    <row r="94" spans="1:90" ht="20.100000000000001" customHeight="1" x14ac:dyDescent="0.25">
      <c r="B94" s="1">
        <v>88</v>
      </c>
      <c r="C94" s="50">
        <v>90</v>
      </c>
      <c r="D94" s="51" t="str">
        <f>IF(C94&lt;B94,"▲"&amp;B94-C94,IF(C94&gt;B94,"▼"&amp;C94-B94,"—"))</f>
        <v>▼2</v>
      </c>
      <c r="E94" s="52" t="s">
        <v>98</v>
      </c>
      <c r="F94" s="53">
        <f>G94+O94+W94+AE94+BF94+BH94+BK94</f>
        <v>-477.76</v>
      </c>
      <c r="G94" s="19">
        <f>IF(COUNTIF(H94:INDEX(H94:N94,$B$1),"&gt;0")=0,0,
SUMIF(H94:INDEX(H94:N94,$B$1),"&gt;0",H94:INDEX(H94:N94,$B$1))*$B$1/COUNTIF(H94:INDEX(H94:N94,$B$1),"&gt;0")*
IF($B$1-COUNTIF(H94:INDEX(H94:N94,$B$1),"&gt;0")&lt;=2,1,
IF($B$1-COUNTIF(H94:INDEX(H94:N94,$B$1),"&gt;0")=3,0.8,
IF($B$1-COUNTIF(H94:INDEX(H94:N94,$B$1),"&gt;0")=4,0.6,
IF($B$1-COUNTIF(H94:INDEX(H94:N94,$B$1),"&gt;0")=5,0.4,
IF($B$1-COUNTIF(H94:INDEX(H94:N94,$B$1),"&gt;0")=6,0.2,0))))))</f>
        <v>1.4000000000000001</v>
      </c>
      <c r="H94" s="3">
        <v>-1</v>
      </c>
      <c r="I94" s="3">
        <v>-1</v>
      </c>
      <c r="J94" s="3">
        <v>-1</v>
      </c>
      <c r="K94" s="3">
        <v>-1</v>
      </c>
      <c r="L94" s="3">
        <v>1</v>
      </c>
      <c r="M94" s="3">
        <v>-1</v>
      </c>
      <c r="N94" s="3">
        <v>-1</v>
      </c>
      <c r="O94" s="13">
        <f>0.2*IF(COUNTIF(P94:INDEX(P94:V94,$B$1),"&gt;0")=0,0,
(SUMIF(P94:INDEX(P94:V94,$B$1),"&gt;0",P94:INDEX(P94:V94,$B$1))*$B$1/COUNTIF(P94:INDEX(P94:V94,$B$1),"&gt;0"))*
IF($B$1-COUNTIF(P94:INDEX(P94:V94,$B$1),"&gt;0")&lt;=2,1,
IF($B$1-COUNTIF(P94:INDEX(P94:V94,$B$1),"&gt;0")=3,0.8,
IF($B$1-COUNTIF(P94:INDEX(P94:V94,$B$1),"&gt;0")=4,0.6,
IF($B$1-COUNTIF(P94:INDEX(P94:V94,$B$1),"&gt;0")=5,0.4,
IF($B$1-COUNTIF(P94:INDEX(P94:V94,$B$1),"&gt;0")=6,0.2,0))))))</f>
        <v>0.84000000000000008</v>
      </c>
      <c r="P94" s="3">
        <v>-1</v>
      </c>
      <c r="Q94" s="3">
        <v>-1</v>
      </c>
      <c r="R94" s="3">
        <v>-1</v>
      </c>
      <c r="S94" s="3">
        <v>-1</v>
      </c>
      <c r="T94" s="3">
        <v>3</v>
      </c>
      <c r="U94" s="3">
        <v>-1</v>
      </c>
      <c r="V94" s="3">
        <v>-1</v>
      </c>
      <c r="W94" s="3">
        <f>MIN(100,
IF($B$1&gt;=1,IFERROR(VALUE(SUBSTITUTE(SUBSTITUTE(TRIM(X94),"A",""),"B","")),0),0)+
IF($B$1&gt;=2,IFERROR(VALUE(SUBSTITUTE(SUBSTITUTE(TRIM(Y94),"A",""),"B","")),0),0)+
IF($B$1&gt;=3,IFERROR(VALUE(SUBSTITUTE(SUBSTITUTE(TRIM(Z94),"A",""),"B","")),0),0)+
IF($B$1&gt;=4,IFERROR(VALUE(SUBSTITUTE(SUBSTITUTE(TRIM(AA94),"A",""),"B","")),0),0)+
IF($B$1&gt;=5,IFERROR(VALUE(SUBSTITUTE(SUBSTITUTE(TRIM(AB94),"A",""),"B","")),0),0)+
IF($B$1&gt;=6,IFERROR(VALUE(SUBSTITUTE(SUBSTITUTE(TRIM(AC94),"A",""),"B","")),0),0)+
IF($B$1&gt;=7,IFERROR(VALUE(SUBSTITUTE(SUBSTITUTE(TRIM(AD94),"A",""),"B","")),0),0)
)</f>
        <v>20</v>
      </c>
      <c r="X94" s="3"/>
      <c r="AC94" s="3" t="s">
        <v>156</v>
      </c>
      <c r="AE94" s="13">
        <f>AH94+AK94+AN94+AQ94+AT94+AW94+AZ94+BC94</f>
        <v>0</v>
      </c>
      <c r="AG94" s="13">
        <f>SQRT(AF94)</f>
        <v>0</v>
      </c>
      <c r="AH94" s="13">
        <f>IF(AG94&gt;0,AG94/AG$99*1000, 0)</f>
        <v>0</v>
      </c>
      <c r="AI94" s="13"/>
      <c r="AJ94" s="13">
        <f>SQRT(AI94)</f>
        <v>0</v>
      </c>
      <c r="AK94" s="13">
        <f>IF(AJ94&gt;0,AJ94/AJ$99*1000, 0)</f>
        <v>0</v>
      </c>
      <c r="AM94" s="13">
        <f>SQRT(AL94)</f>
        <v>0</v>
      </c>
      <c r="AN94" s="13">
        <f>IF(AM94&gt;0,AM94/AM$99*1000, 0)</f>
        <v>0</v>
      </c>
      <c r="AP94" s="13">
        <f>SQRT(AO94)</f>
        <v>0</v>
      </c>
      <c r="AQ94" s="13">
        <f>IF(AP94&gt;0,AP94/AP$99*1000, 0)</f>
        <v>0</v>
      </c>
      <c r="AS94" s="13">
        <f>SQRT(AR94)</f>
        <v>0</v>
      </c>
      <c r="AT94" s="13">
        <f>IF(AS94&gt;0,AS94/AS$99*1000, 0)</f>
        <v>0</v>
      </c>
      <c r="AV94" s="13">
        <f>SQRT(AU94)</f>
        <v>0</v>
      </c>
      <c r="AW94" s="13">
        <f>IF(AV94&gt;0,AV94/AV$99*1000, 0)</f>
        <v>0</v>
      </c>
      <c r="AY94" s="13">
        <f>SQRT(AX94)</f>
        <v>0</v>
      </c>
      <c r="AZ94" s="13">
        <f>IF(AY94&gt;0,AY94/AY$99*1000, 0)</f>
        <v>0</v>
      </c>
      <c r="BB94" s="13">
        <f>SQRT(BA94)</f>
        <v>0</v>
      </c>
      <c r="BC94" s="13">
        <f>IF(BB94&gt;0,BB94/BB$99*1000, 0)</f>
        <v>0</v>
      </c>
      <c r="BE94" s="21">
        <f>SQRT(BD94)</f>
        <v>0</v>
      </c>
      <c r="BF94" s="13">
        <f>IF(BE94&gt;0, BE94/BE$99*10000, 0)</f>
        <v>0</v>
      </c>
      <c r="BH94" s="13">
        <f>IF(BG94&gt;0, BG94/BG$99*2000, 0)</f>
        <v>0</v>
      </c>
      <c r="BI94" s="30">
        <v>-200</v>
      </c>
      <c r="BJ94" s="30">
        <v>-300</v>
      </c>
      <c r="BK94" s="30">
        <f>BJ94+BI94</f>
        <v>-500</v>
      </c>
      <c r="BL94" s="3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</row>
    <row r="95" spans="1:90" ht="20.100000000000001" customHeight="1" x14ac:dyDescent="0.25">
      <c r="B95" s="1">
        <v>89</v>
      </c>
      <c r="C95" s="50">
        <v>91</v>
      </c>
      <c r="D95" s="51" t="str">
        <f>IF(C95&lt;B95,"▲"&amp;B95-C95,IF(C95&gt;B95,"▼"&amp;C95-B95,"—"))</f>
        <v>▼2</v>
      </c>
      <c r="E95" s="52" t="s">
        <v>97</v>
      </c>
      <c r="F95" s="53">
        <f>G95+O95+W95+AE95+BF95+BH95+BK95</f>
        <v>-477.76</v>
      </c>
      <c r="G95" s="19">
        <f>IF(COUNTIF(H95:INDEX(H95:N95,$B$1),"&gt;0")=0,0,
SUMIF(H95:INDEX(H95:N95,$B$1),"&gt;0",H95:INDEX(H95:N95,$B$1))*$B$1/COUNTIF(H95:INDEX(H95:N95,$B$1),"&gt;0")*
IF($B$1-COUNTIF(H95:INDEX(H95:N95,$B$1),"&gt;0")&lt;=2,1,
IF($B$1-COUNTIF(H95:INDEX(H95:N95,$B$1),"&gt;0")=3,0.8,
IF($B$1-COUNTIF(H95:INDEX(H95:N95,$B$1),"&gt;0")=4,0.6,
IF($B$1-COUNTIF(H95:INDEX(H95:N95,$B$1),"&gt;0")=5,0.4,
IF($B$1-COUNTIF(H95:INDEX(H95:N95,$B$1),"&gt;0")=6,0.2,0))))))</f>
        <v>1.4000000000000001</v>
      </c>
      <c r="H95" s="3">
        <v>-1</v>
      </c>
      <c r="I95" s="3">
        <v>-1</v>
      </c>
      <c r="J95" s="3">
        <v>-1</v>
      </c>
      <c r="K95" s="3">
        <v>-1</v>
      </c>
      <c r="L95" s="3">
        <v>-1</v>
      </c>
      <c r="M95" s="3">
        <v>-1</v>
      </c>
      <c r="N95" s="3">
        <v>1</v>
      </c>
      <c r="O95" s="13">
        <f>0.2*IF(COUNTIF(P95:INDEX(P95:V95,$B$1),"&gt;0")=0,0,
(SUMIF(P95:INDEX(P95:V95,$B$1),"&gt;0",P95:INDEX(P95:V95,$B$1))*$B$1/COUNTIF(P95:INDEX(P95:V95,$B$1),"&gt;0"))*
IF($B$1-COUNTIF(P95:INDEX(P95:V95,$B$1),"&gt;0")&lt;=2,1,
IF($B$1-COUNTIF(P95:INDEX(P95:V95,$B$1),"&gt;0")=3,0.8,
IF($B$1-COUNTIF(P95:INDEX(P95:V95,$B$1),"&gt;0")=4,0.6,
IF($B$1-COUNTIF(P95:INDEX(P95:V95,$B$1),"&gt;0")=5,0.4,
IF($B$1-COUNTIF(P95:INDEX(P95:V95,$B$1),"&gt;0")=6,0.2,0))))))</f>
        <v>0.84000000000000008</v>
      </c>
      <c r="P95" s="3">
        <v>-1</v>
      </c>
      <c r="Q95" s="3">
        <v>3</v>
      </c>
      <c r="R95" s="3">
        <v>-1</v>
      </c>
      <c r="S95" s="3">
        <v>-1</v>
      </c>
      <c r="T95" s="3">
        <v>-1</v>
      </c>
      <c r="U95" s="3">
        <v>-1</v>
      </c>
      <c r="V95" s="3">
        <v>-1</v>
      </c>
      <c r="W95" s="3">
        <f>MIN(100,
IF($B$1&gt;=1,IFERROR(VALUE(SUBSTITUTE(SUBSTITUTE(TRIM(X95),"A",""),"B","")),0),0)+
IF($B$1&gt;=2,IFERROR(VALUE(SUBSTITUTE(SUBSTITUTE(TRIM(Y95),"A",""),"B","")),0),0)+
IF($B$1&gt;=3,IFERROR(VALUE(SUBSTITUTE(SUBSTITUTE(TRIM(Z95),"A",""),"B","")),0),0)+
IF($B$1&gt;=4,IFERROR(VALUE(SUBSTITUTE(SUBSTITUTE(TRIM(AA95),"A",""),"B","")),0),0)+
IF($B$1&gt;=5,IFERROR(VALUE(SUBSTITUTE(SUBSTITUTE(TRIM(AB95),"A",""),"B","")),0),0)+
IF($B$1&gt;=6,IFERROR(VALUE(SUBSTITUTE(SUBSTITUTE(TRIM(AC95),"A",""),"B","")),0),0)+
IF($B$1&gt;=7,IFERROR(VALUE(SUBSTITUTE(SUBSTITUTE(TRIM(AD95),"A",""),"B","")),0),0)
)</f>
        <v>20</v>
      </c>
      <c r="X95" s="3"/>
      <c r="AC95" s="3" t="s">
        <v>156</v>
      </c>
      <c r="AE95" s="13">
        <f>AH95+AK95+AN95+AQ95+AT95+AW95+AZ95+BC95</f>
        <v>0</v>
      </c>
      <c r="AG95" s="13">
        <f>SQRT(AF95)</f>
        <v>0</v>
      </c>
      <c r="AH95" s="13">
        <f>IF(AG95&gt;0,AG95/AG$99*1000, 0)</f>
        <v>0</v>
      </c>
      <c r="AI95" s="13"/>
      <c r="AJ95" s="13">
        <f>SQRT(AI95)</f>
        <v>0</v>
      </c>
      <c r="AK95" s="13">
        <f>IF(AJ95&gt;0,AJ95/AJ$99*1000, 0)</f>
        <v>0</v>
      </c>
      <c r="AM95" s="13">
        <f>SQRT(AL95)</f>
        <v>0</v>
      </c>
      <c r="AN95" s="13">
        <f>IF(AM95&gt;0,AM95/AM$99*1000, 0)</f>
        <v>0</v>
      </c>
      <c r="AP95" s="13">
        <f>SQRT(AO95)</f>
        <v>0</v>
      </c>
      <c r="AQ95" s="13">
        <f>IF(AP95&gt;0,AP95/AP$99*1000, 0)</f>
        <v>0</v>
      </c>
      <c r="AS95" s="13">
        <f>SQRT(AR95)</f>
        <v>0</v>
      </c>
      <c r="AT95" s="13">
        <f>IF(AS95&gt;0,AS95/AS$99*1000, 0)</f>
        <v>0</v>
      </c>
      <c r="AV95" s="13">
        <f>SQRT(AU95)</f>
        <v>0</v>
      </c>
      <c r="AW95" s="13">
        <f>IF(AV95&gt;0,AV95/AV$99*1000, 0)</f>
        <v>0</v>
      </c>
      <c r="AY95" s="13">
        <f>SQRT(AX95)</f>
        <v>0</v>
      </c>
      <c r="AZ95" s="13">
        <f>IF(AY95&gt;0,AY95/AY$99*1000, 0)</f>
        <v>0</v>
      </c>
      <c r="BB95" s="13">
        <f>SQRT(BA95)</f>
        <v>0</v>
      </c>
      <c r="BC95" s="13">
        <f>IF(BB95&gt;0,BB95/BB$99*1000, 0)</f>
        <v>0</v>
      </c>
      <c r="BE95" s="21">
        <f>SQRT(BD95)</f>
        <v>0</v>
      </c>
      <c r="BF95" s="13">
        <f>IF(BE95&gt;0, BE95/BE$99*10000, 0)</f>
        <v>0</v>
      </c>
      <c r="BH95" s="13">
        <f>IF(BG95&gt;0, BG95/BG$99*2000, 0)</f>
        <v>0</v>
      </c>
      <c r="BI95" s="30">
        <v>-200</v>
      </c>
      <c r="BJ95" s="30">
        <v>-300</v>
      </c>
      <c r="BK95" s="30">
        <f>BJ95+BI95</f>
        <v>-500</v>
      </c>
      <c r="BL95" s="7"/>
      <c r="BM95" s="3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</row>
    <row r="96" spans="1:90" ht="20.100000000000001" customHeight="1" x14ac:dyDescent="0.25">
      <c r="B96" s="1">
        <v>90</v>
      </c>
      <c r="C96" s="50">
        <v>92</v>
      </c>
      <c r="D96" s="51" t="str">
        <f>IF(C96&lt;B96,"▲"&amp;B96-C96,IF(C96&gt;B96,"▼"&amp;C96-B96,"—"))</f>
        <v>▼2</v>
      </c>
      <c r="E96" s="52" t="s">
        <v>99</v>
      </c>
      <c r="F96" s="53">
        <f>G96+O96+W96+AE96+BF96+BH96+BK96</f>
        <v>-480</v>
      </c>
      <c r="G96" s="19">
        <f>IF(COUNTIF(H96:INDEX(H96:N96,$B$1),"&gt;0")=0,0,
SUMIF(H96:INDEX(H96:N96,$B$1),"&gt;0",H96:INDEX(H96:N96,$B$1))*$B$1/COUNTIF(H96:INDEX(H96:N96,$B$1),"&gt;0")*
IF($B$1-COUNTIF(H96:INDEX(H96:N96,$B$1),"&gt;0")&lt;=2,1,
IF($B$1-COUNTIF(H96:INDEX(H96:N96,$B$1),"&gt;0")=3,0.8,
IF($B$1-COUNTIF(H96:INDEX(H96:N96,$B$1),"&gt;0")=4,0.6,
IF($B$1-COUNTIF(H96:INDEX(H96:N96,$B$1),"&gt;0")=5,0.4,
IF($B$1-COUNTIF(H96:INDEX(H96:N96,$B$1),"&gt;0")=6,0.2,0))))))</f>
        <v>0</v>
      </c>
      <c r="H96" s="3">
        <v>-1</v>
      </c>
      <c r="I96" s="3">
        <v>-1</v>
      </c>
      <c r="J96" s="3">
        <v>-1</v>
      </c>
      <c r="K96" s="3">
        <v>-1</v>
      </c>
      <c r="L96" s="3">
        <v>-1</v>
      </c>
      <c r="M96" s="3">
        <v>-1</v>
      </c>
      <c r="N96" s="3">
        <v>-1</v>
      </c>
      <c r="O96" s="13">
        <f>0.2*IF(COUNTIF(P96:INDEX(P96:V96,$B$1),"&gt;0")=0,0,
(SUMIF(P96:INDEX(P96:V96,$B$1),"&gt;0",P96:INDEX(P96:V96,$B$1))*$B$1/COUNTIF(P96:INDEX(P96:V96,$B$1),"&gt;0"))*
IF($B$1-COUNTIF(P96:INDEX(P96:V96,$B$1),"&gt;0")&lt;=2,1,
IF($B$1-COUNTIF(P96:INDEX(P96:V96,$B$1),"&gt;0")=3,0.8,
IF($B$1-COUNTIF(P96:INDEX(P96:V96,$B$1),"&gt;0")=4,0.6,
IF($B$1-COUNTIF(P96:INDEX(P96:V96,$B$1),"&gt;0")=5,0.4,
IF($B$1-COUNTIF(P96:INDEX(P96:V96,$B$1),"&gt;0")=6,0.2,0))))))</f>
        <v>0</v>
      </c>
      <c r="P96" s="3">
        <v>-1</v>
      </c>
      <c r="Q96" s="3">
        <v>-1</v>
      </c>
      <c r="R96" s="3">
        <v>-1</v>
      </c>
      <c r="S96" s="3">
        <v>-1</v>
      </c>
      <c r="T96" s="3">
        <v>-1</v>
      </c>
      <c r="U96" s="3">
        <v>-1</v>
      </c>
      <c r="V96" s="3">
        <v>-1</v>
      </c>
      <c r="W96" s="3">
        <f>MIN(100,
IF($B$1&gt;=1,IFERROR(VALUE(SUBSTITUTE(SUBSTITUTE(TRIM(X96),"A",""),"B","")),0),0)+
IF($B$1&gt;=2,IFERROR(VALUE(SUBSTITUTE(SUBSTITUTE(TRIM(Y96),"A",""),"B","")),0),0)+
IF($B$1&gt;=3,IFERROR(VALUE(SUBSTITUTE(SUBSTITUTE(TRIM(Z96),"A",""),"B","")),0),0)+
IF($B$1&gt;=4,IFERROR(VALUE(SUBSTITUTE(SUBSTITUTE(TRIM(AA96),"A",""),"B","")),0),0)+
IF($B$1&gt;=5,IFERROR(VALUE(SUBSTITUTE(SUBSTITUTE(TRIM(AB96),"A",""),"B","")),0),0)+
IF($B$1&gt;=6,IFERROR(VALUE(SUBSTITUTE(SUBSTITUTE(TRIM(AC96),"A",""),"B","")),0),0)+
IF($B$1&gt;=7,IFERROR(VALUE(SUBSTITUTE(SUBSTITUTE(TRIM(AD96),"A",""),"B","")),0),0)
)</f>
        <v>20</v>
      </c>
      <c r="X96" s="3"/>
      <c r="AC96" s="3" t="s">
        <v>156</v>
      </c>
      <c r="AE96" s="13">
        <f>AH96+AK96+AN96+AQ96+AT96+AW96+AZ96+BC96</f>
        <v>0</v>
      </c>
      <c r="AG96" s="13">
        <f>SQRT(AF96)</f>
        <v>0</v>
      </c>
      <c r="AH96" s="13">
        <f>IF(AG96&gt;0,AG96/AG$99*1000, 0)</f>
        <v>0</v>
      </c>
      <c r="AI96" s="13"/>
      <c r="AJ96" s="13">
        <f>SQRT(AI96)</f>
        <v>0</v>
      </c>
      <c r="AK96" s="13">
        <f>IF(AJ96&gt;0,AJ96/AJ$99*1000, 0)</f>
        <v>0</v>
      </c>
      <c r="AM96" s="13">
        <f>SQRT(AL96)</f>
        <v>0</v>
      </c>
      <c r="AN96" s="13">
        <f>IF(AM96&gt;0,AM96/AM$99*1000, 0)</f>
        <v>0</v>
      </c>
      <c r="AP96" s="13">
        <f>SQRT(AO96)</f>
        <v>0</v>
      </c>
      <c r="AQ96" s="13">
        <f>IF(AP96&gt;0,AP96/AP$99*1000, 0)</f>
        <v>0</v>
      </c>
      <c r="AS96" s="13">
        <f>SQRT(AR96)</f>
        <v>0</v>
      </c>
      <c r="AT96" s="13">
        <f>IF(AS96&gt;0,AS96/AS$99*1000, 0)</f>
        <v>0</v>
      </c>
      <c r="AV96" s="13">
        <f>SQRT(AU96)</f>
        <v>0</v>
      </c>
      <c r="AW96" s="13">
        <f>IF(AV96&gt;0,AV96/AV$99*1000, 0)</f>
        <v>0</v>
      </c>
      <c r="AY96" s="13">
        <f>SQRT(AX96)</f>
        <v>0</v>
      </c>
      <c r="AZ96" s="13">
        <f>IF(AY96&gt;0,AY96/AY$99*1000, 0)</f>
        <v>0</v>
      </c>
      <c r="BB96" s="13">
        <f>SQRT(BA96)</f>
        <v>0</v>
      </c>
      <c r="BC96" s="13">
        <f>IF(BB96&gt;0,BB96/BB$99*1000, 0)</f>
        <v>0</v>
      </c>
      <c r="BE96" s="21">
        <f>SQRT(BD96)</f>
        <v>0</v>
      </c>
      <c r="BF96" s="13">
        <f>IF(BE96&gt;0, BE96/BE$99*10000, 0)</f>
        <v>0</v>
      </c>
      <c r="BH96" s="13">
        <f>IF(BG96&gt;0, BG96/BG$99*2000, 0)</f>
        <v>0</v>
      </c>
      <c r="BI96" s="30">
        <v>-200</v>
      </c>
      <c r="BJ96" s="30">
        <v>-300</v>
      </c>
      <c r="BK96" s="30">
        <f>BJ96+BI96</f>
        <v>-500</v>
      </c>
      <c r="BL96" s="3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</row>
    <row r="97" spans="2:90" ht="20.100000000000001" customHeight="1" thickBot="1" x14ac:dyDescent="0.3">
      <c r="B97" s="1">
        <v>91</v>
      </c>
      <c r="C97" s="54">
        <v>93</v>
      </c>
      <c r="D97" s="55" t="str">
        <f>IF(C97&lt;B97,"▲"&amp;B97-C97,IF(C97&gt;B97,"▼"&amp;C97-B97,"—"))</f>
        <v>▼2</v>
      </c>
      <c r="E97" s="56" t="s">
        <v>100</v>
      </c>
      <c r="F97" s="57">
        <f>G97+O97+W97+AE97+BF97+BH97+BK97</f>
        <v>-480</v>
      </c>
      <c r="G97" s="19">
        <f>IF(COUNTIF(H97:INDEX(H97:N97,$B$1),"&gt;0")=0,0,
SUMIF(H97:INDEX(H97:N97,$B$1),"&gt;0",H97:INDEX(H97:N97,$B$1))*$B$1/COUNTIF(H97:INDEX(H97:N97,$B$1),"&gt;0")*
IF($B$1-COUNTIF(H97:INDEX(H97:N97,$B$1),"&gt;0")&lt;=2,1,
IF($B$1-COUNTIF(H97:INDEX(H97:N97,$B$1),"&gt;0")=3,0.8,
IF($B$1-COUNTIF(H97:INDEX(H97:N97,$B$1),"&gt;0")=4,0.6,
IF($B$1-COUNTIF(H97:INDEX(H97:N97,$B$1),"&gt;0")=5,0.4,
IF($B$1-COUNTIF(H97:INDEX(H97:N97,$B$1),"&gt;0")=6,0.2,0))))))</f>
        <v>0</v>
      </c>
      <c r="H97" s="3">
        <v>-1</v>
      </c>
      <c r="I97" s="3">
        <v>-1</v>
      </c>
      <c r="J97" s="3">
        <v>-1</v>
      </c>
      <c r="K97" s="3">
        <v>-1</v>
      </c>
      <c r="L97" s="3">
        <v>-1</v>
      </c>
      <c r="M97" s="3">
        <v>-1</v>
      </c>
      <c r="N97" s="3">
        <v>-1</v>
      </c>
      <c r="O97" s="13">
        <f>0.2*IF(COUNTIF(P97:INDEX(P97:V97,$B$1),"&gt;0")=0,0,
(SUMIF(P97:INDEX(P97:V97,$B$1),"&gt;0",P97:INDEX(P97:V97,$B$1))*$B$1/COUNTIF(P97:INDEX(P97:V97,$B$1),"&gt;0"))*
IF($B$1-COUNTIF(P97:INDEX(P97:V97,$B$1),"&gt;0")&lt;=2,1,
IF($B$1-COUNTIF(P97:INDEX(P97:V97,$B$1),"&gt;0")=3,0.8,
IF($B$1-COUNTIF(P97:INDEX(P97:V97,$B$1),"&gt;0")=4,0.6,
IF($B$1-COUNTIF(P97:INDEX(P97:V97,$B$1),"&gt;0")=5,0.4,
IF($B$1-COUNTIF(P97:INDEX(P97:V97,$B$1),"&gt;0")=6,0.2,0))))))</f>
        <v>0</v>
      </c>
      <c r="P97" s="3">
        <v>-1</v>
      </c>
      <c r="Q97" s="3">
        <v>-1</v>
      </c>
      <c r="R97" s="3">
        <v>-1</v>
      </c>
      <c r="S97" s="3">
        <v>-1</v>
      </c>
      <c r="T97" s="3">
        <v>-1</v>
      </c>
      <c r="U97" s="3">
        <v>-1</v>
      </c>
      <c r="V97" s="3">
        <v>-1</v>
      </c>
      <c r="W97" s="3">
        <f>MIN(100,
IF($B$1&gt;=1,IFERROR(VALUE(SUBSTITUTE(SUBSTITUTE(TRIM(X97),"A",""),"B","")),0),0)+
IF($B$1&gt;=2,IFERROR(VALUE(SUBSTITUTE(SUBSTITUTE(TRIM(Y97),"A",""),"B","")),0),0)+
IF($B$1&gt;=3,IFERROR(VALUE(SUBSTITUTE(SUBSTITUTE(TRIM(Z97),"A",""),"B","")),0),0)+
IF($B$1&gt;=4,IFERROR(VALUE(SUBSTITUTE(SUBSTITUTE(TRIM(AA97),"A",""),"B","")),0),0)+
IF($B$1&gt;=5,IFERROR(VALUE(SUBSTITUTE(SUBSTITUTE(TRIM(AB97),"A",""),"B","")),0),0)+
IF($B$1&gt;=6,IFERROR(VALUE(SUBSTITUTE(SUBSTITUTE(TRIM(AC97),"A",""),"B","")),0),0)+
IF($B$1&gt;=7,IFERROR(VALUE(SUBSTITUTE(SUBSTITUTE(TRIM(AD97),"A",""),"B","")),0),0)
)</f>
        <v>20</v>
      </c>
      <c r="X97" s="3"/>
      <c r="AC97" s="3" t="s">
        <v>156</v>
      </c>
      <c r="AE97" s="13">
        <f>AH97+AK97+AN97+AQ97+AT97+AW97+AZ97+BC97</f>
        <v>0</v>
      </c>
      <c r="AG97" s="13">
        <f>SQRT(AF97)</f>
        <v>0</v>
      </c>
      <c r="AH97" s="13">
        <f>IF(AG97&gt;0,AG97/AG$99*1000, 0)</f>
        <v>0</v>
      </c>
      <c r="AI97" s="13"/>
      <c r="AJ97" s="13">
        <f>SQRT(AI97)</f>
        <v>0</v>
      </c>
      <c r="AK97" s="13">
        <f>IF(AJ97&gt;0,AJ97/AJ$99*1000, 0)</f>
        <v>0</v>
      </c>
      <c r="AM97" s="13">
        <f>SQRT(AL97)</f>
        <v>0</v>
      </c>
      <c r="AN97" s="13">
        <f>IF(AM97&gt;0,AM97/AM$99*1000, 0)</f>
        <v>0</v>
      </c>
      <c r="AP97" s="13">
        <f>SQRT(AO97)</f>
        <v>0</v>
      </c>
      <c r="AQ97" s="13">
        <f>IF(AP97&gt;0,AP97/AP$99*1000, 0)</f>
        <v>0</v>
      </c>
      <c r="AS97" s="13">
        <f>SQRT(AR97)</f>
        <v>0</v>
      </c>
      <c r="AT97" s="13">
        <f>IF(AS97&gt;0,AS97/AS$99*1000, 0)</f>
        <v>0</v>
      </c>
      <c r="AV97" s="13">
        <f>SQRT(AU97)</f>
        <v>0</v>
      </c>
      <c r="AW97" s="13">
        <f>IF(AV97&gt;0,AV97/AV$99*1000, 0)</f>
        <v>0</v>
      </c>
      <c r="AY97" s="13">
        <f>SQRT(AX97)</f>
        <v>0</v>
      </c>
      <c r="AZ97" s="13">
        <f>IF(AY97&gt;0,AY97/AY$99*1000, 0)</f>
        <v>0</v>
      </c>
      <c r="BB97" s="13">
        <f>SQRT(BA97)</f>
        <v>0</v>
      </c>
      <c r="BC97" s="13">
        <f>IF(BB97&gt;0,BB97/BB$99*1000, 0)</f>
        <v>0</v>
      </c>
      <c r="BE97" s="21">
        <f>SQRT(BD97)</f>
        <v>0</v>
      </c>
      <c r="BF97" s="13">
        <f>IF(BE97&gt;0, BE97/BE$99*10000, 0)</f>
        <v>0</v>
      </c>
      <c r="BH97" s="13">
        <f>IF(BG97&gt;0, BG97/BG$99*2000, 0)</f>
        <v>0</v>
      </c>
      <c r="BI97" s="30">
        <v>-200</v>
      </c>
      <c r="BJ97" s="30">
        <v>-300</v>
      </c>
      <c r="BK97" s="30">
        <f>BJ97+BI97</f>
        <v>-500</v>
      </c>
      <c r="BL97" s="3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</row>
    <row r="98" spans="2:90" ht="20.100000000000001" customHeight="1" x14ac:dyDescent="0.25">
      <c r="B98" s="1"/>
      <c r="C98" s="1"/>
      <c r="D98" s="1"/>
    </row>
    <row r="99" spans="2:90" ht="20.100000000000001" customHeight="1" x14ac:dyDescent="0.25">
      <c r="B99" s="1"/>
      <c r="C99" s="1"/>
      <c r="D99" s="1"/>
      <c r="G99" s="41"/>
      <c r="H99" s="42"/>
      <c r="I99" s="42"/>
      <c r="J99" s="42"/>
      <c r="K99" s="42"/>
      <c r="L99" s="42"/>
      <c r="M99" s="42"/>
      <c r="N99" s="42"/>
      <c r="O99" s="41"/>
      <c r="P99" s="36"/>
      <c r="Q99" s="36"/>
      <c r="R99" s="36"/>
      <c r="S99" s="36"/>
      <c r="T99" s="36"/>
      <c r="U99" s="36"/>
      <c r="V99" s="36"/>
      <c r="W99" s="39" t="s">
        <v>2</v>
      </c>
      <c r="X99" s="36"/>
      <c r="Y99" s="36"/>
      <c r="Z99" s="36"/>
      <c r="AA99" s="36"/>
      <c r="AB99" s="36"/>
      <c r="AC99" s="36"/>
      <c r="AD99" s="36"/>
      <c r="AE99" s="35">
        <f>SUMIF(AE5:AE97,"&gt;0")</f>
        <v>8000.0000000000045</v>
      </c>
      <c r="AF99" s="35"/>
      <c r="AG99" s="35">
        <f>SUMIF(AG5:AG97,"&gt;0")</f>
        <v>37.344905341109687</v>
      </c>
      <c r="AH99" s="35">
        <f>SUMIF(AH5:AH97,"&gt;0")</f>
        <v>1000.0000000000001</v>
      </c>
      <c r="AI99" s="35"/>
      <c r="AJ99" s="35">
        <f>SUMIF(AJ5:AJ97,"&gt;0")</f>
        <v>33.807732738114836</v>
      </c>
      <c r="AK99" s="35">
        <f>SUMIF(AK5:AK97,"&gt;0")</f>
        <v>1000.0000000000002</v>
      </c>
      <c r="AL99" s="35"/>
      <c r="AM99" s="35">
        <f>SUMIF(AM5:AM97,"&gt;0")</f>
        <v>24.701036876219629</v>
      </c>
      <c r="AN99" s="35">
        <f>SUMIF(AN5:AN97,"&gt;0")</f>
        <v>1000.0000000000005</v>
      </c>
      <c r="AO99" s="35"/>
      <c r="AP99" s="35">
        <f>SUMIF(AP5:AP97,"&gt;0")</f>
        <v>14.727361987581657</v>
      </c>
      <c r="AQ99" s="35">
        <f>SUMIF(AQ5:AQ97,"&gt;0")</f>
        <v>1000.0000000000001</v>
      </c>
      <c r="AR99" s="35"/>
      <c r="AS99" s="35">
        <f>SUMIF(AS5:AS97,"&gt;0")</f>
        <v>17.657482794396589</v>
      </c>
      <c r="AT99" s="35">
        <f>SUMIF(AT5:AT97,"&gt;0")</f>
        <v>1000.0000000000003</v>
      </c>
      <c r="AU99" s="35"/>
      <c r="AV99" s="35">
        <f>SUMIF(AV5:AV97,"&gt;0")</f>
        <v>22.425345515954515</v>
      </c>
      <c r="AW99" s="35">
        <f>SUMIF(AW5:AW97,"&gt;0")</f>
        <v>999.99999999999989</v>
      </c>
      <c r="AX99" s="35"/>
      <c r="AY99" s="35">
        <f>SUMIF(AY5:AY97,"&gt;0")</f>
        <v>20.697569545311953</v>
      </c>
      <c r="AZ99" s="35">
        <f>SUMIF(AZ5:AZ97,"&gt;0")</f>
        <v>1000.0000000000002</v>
      </c>
      <c r="BA99" s="35"/>
      <c r="BB99" s="35">
        <f>SUMIF(BB5:BB97,"&gt;0")</f>
        <v>431.50347248368081</v>
      </c>
      <c r="BC99" s="35">
        <f>SUMIF(BC5:BC97,"&gt;0")</f>
        <v>999.99999999999966</v>
      </c>
      <c r="BD99" s="36"/>
      <c r="BE99" s="37">
        <f>SUMIF(BE5:BE97,"&gt;0")</f>
        <v>38.830792351103881</v>
      </c>
      <c r="BF99" s="35">
        <f>SUMIF(BF5:BF97,"&gt;0")</f>
        <v>10000.000000000013</v>
      </c>
      <c r="BG99" s="36">
        <f>SUMIF(BG5:BG97,"&gt;0")</f>
        <v>719</v>
      </c>
      <c r="BH99" s="35">
        <f>SUMIF(BH5:BH97,"&gt;0")</f>
        <v>2000.0000000000009</v>
      </c>
      <c r="BJ99" s="38"/>
      <c r="BK99" s="38"/>
      <c r="BL99" s="40"/>
    </row>
    <row r="100" spans="2:90" ht="20.100000000000001" customHeight="1" x14ac:dyDescent="0.25">
      <c r="B100" s="1"/>
      <c r="C100" s="1"/>
      <c r="D100" s="1"/>
    </row>
    <row r="101" spans="2:90" ht="0" hidden="1" customHeight="1" x14ac:dyDescent="0.25">
      <c r="B101" s="1"/>
      <c r="C101" s="1"/>
      <c r="D101" s="1"/>
    </row>
  </sheetData>
  <phoneticPr fontId="2" type="noConversion"/>
  <printOptions horizontalCentered="1" verticalCentered="1"/>
  <pageMargins left="0.25" right="0.25" top="0.75" bottom="0.75" header="0.3" footer="0.3"/>
  <pageSetup paperSize="9" scale="4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0118</vt:lpstr>
      <vt:lpstr>'0118'!Print_Area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Melon</dc:creator>
  <cp:lastModifiedBy>Melon</cp:lastModifiedBy>
  <dcterms:created xsi:type="dcterms:W3CDTF">2026-02-15T16:38:25Z</dcterms:created>
  <dcterms:modified xsi:type="dcterms:W3CDTF">2026-03-02T18:42:43Z</dcterms:modified>
</cp:coreProperties>
</file>